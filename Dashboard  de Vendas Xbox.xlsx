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s\Downloads\"/>
    </mc:Choice>
  </mc:AlternateContent>
  <bookViews>
    <workbookView xWindow="0" yWindow="0" windowWidth="20490" windowHeight="7845" firstSheet="4" activeTab="4"/>
  </bookViews>
  <sheets>
    <sheet name="A̳ssets" sheetId="1" state="hidden" r:id="rId1"/>
    <sheet name="B̳ases" sheetId="2" state="hidden" r:id="rId2"/>
    <sheet name="Plan2" sheetId="6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52511"/>
  <pivotCaches>
    <pivotCache cacheId="1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24" i="3"/>
</calcChain>
</file>

<file path=xl/sharedStrings.xml><?xml version="1.0" encoding="utf-8"?>
<sst xmlns="http://schemas.openxmlformats.org/spreadsheetml/2006/main" count="2156" uniqueCount="325">
  <si>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</si>
  <si>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</si>
  <si>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</si>
  <si>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</si>
  <si>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</si>
  <si>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</si>
  <si>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</si>
  <si>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</si>
  <si>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</si>
  <si>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</si>
  <si>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</si>
  <si>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</si>
  <si>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</si>
  <si>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</si>
  <si>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</si>
  <si>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</si>
  <si>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</si>
  <si>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</si>
  <si>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</si>
  <si>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</si>
  <si>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</si>
  <si>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</si>
  <si>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</si>
  <si>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</si>
  <si>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</si>
  <si>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</si>
  <si>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</si>
  <si>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</si>
  <si>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</si>
  <si>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</si>
  <si>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</si>
  <si>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</si>
  <si>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</si>
  <si>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</si>
  <si>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</si>
  <si>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</si>
  <si>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</si>
  <si>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</si>
  <si>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</si>
  <si>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</si>
  <si>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</si>
  <si>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</si>
  <si>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</si>
  <si>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</si>
  <si>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</si>
  <si>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</si>
  <si>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</si>
  <si>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</si>
  <si>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</si>
  <si>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</si>
  <si>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</si>
  <si>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</si>
  <si>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</si>
  <si>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</si>
  <si>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</si>
  <si>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</si>
  <si>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</si>
  <si>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</si>
  <si>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</si>
  <si>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</si>
  <si>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</si>
  <si>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</si>
  <si>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</si>
  <si>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</si>
  <si>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</si>
  <si>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</si>
  <si>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</si>
  <si>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</si>
  <si>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</si>
  <si>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</si>
  <si>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</si>
  <si>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</si>
  <si>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</si>
  <si>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</si>
  <si>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</si>
  <si>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</si>
  <si>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</si>
  <si>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</si>
  <si>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</si>
  <si>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</si>
  <si>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</si>
  <si>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</si>
  <si>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</si>
  <si>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</si>
  <si>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</si>
  <si>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</si>
  <si>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</si>
  <si>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</si>
  <si>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</si>
  <si>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</si>
  <si>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</si>
  <si>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</si>
  <si>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</si>
  <si>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</si>
  <si>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</si>
  <si>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</si>
  <si>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</si>
  <si>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</si>
  <si>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</si>
  <si>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</si>
  <si>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</si>
  <si>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</si>
  <si>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</si>
  <si>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</si>
  <si>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</si>
  <si>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</si>
  <si>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</si>
  <si>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</si>
  <si>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</si>
  <si>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</si>
  <si>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</si>
  <si>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</si>
  <si>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</si>
  <si>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</si>
  <si>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</si>
  <si>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</si>
  <si>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</si>
  <si>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</si>
  <si>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</si>
  <si>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</si>
  <si>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</si>
  <si>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</si>
  <si>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</si>
  <si>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</si>
  <si>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</si>
  <si>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</si>
  <si>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</si>
  <si>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</si>
  <si>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</si>
  <si>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</si>
  <si>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</si>
  <si>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</si>
  <si>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</si>
  <si>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</si>
  <si>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</si>
  <si>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</si>
  <si>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</si>
  <si>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</si>
  <si>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</si>
  <si>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</si>
  <si>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</si>
  <si>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</si>
  <si>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</si>
  <si>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</si>
  <si>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</si>
  <si>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</si>
  <si>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</si>
  <si>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</si>
  <si>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</si>
  <si>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</si>
  <si>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</si>
  <si>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</si>
  <si>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</si>
  <si>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</si>
  <si>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</si>
  <si>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</si>
  <si>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</si>
  <si>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</si>
  <si>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</si>
  <si>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</si>
  <si>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</si>
  <si>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</si>
  <si>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</si>
  <si>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</si>
  <si>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</si>
  <si>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</si>
  <si>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</si>
  <si>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</si>
  <si>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</si>
  <si>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</si>
  <si>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</si>
  <si>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</si>
  <si>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</si>
  <si>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</si>
  <si>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</si>
  <si>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</si>
  <si>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</si>
  <si>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</si>
  <si>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</si>
  <si>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</si>
  <si>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</si>
  <si>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</si>
  <si>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</si>
  <si>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</si>
  <si>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</si>
  <si>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</si>
  <si>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</si>
  <si>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</si>
  <si>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</si>
  <si>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</si>
  <si>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</si>
  <si>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</si>
  <si>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</si>
  <si>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</si>
  <si>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</si>
  <si>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</si>
  <si>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</si>
  <si>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</si>
  <si>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</si>
  <si>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</si>
  <si>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</si>
  <si>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</si>
  <si>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</si>
  <si>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</si>
  <si>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</si>
  <si>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</si>
  <si>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</si>
  <si>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</si>
  <si>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</si>
  <si>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</si>
  <si>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</si>
  <si>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</si>
  <si>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</si>
  <si>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</si>
  <si>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</si>
  <si>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</si>
  <si>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</si>
  <si>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</si>
  <si>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</si>
  <si>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</si>
  <si>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</si>
  <si>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</si>
  <si>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</si>
  <si>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</si>
  <si>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</si>
  <si>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</si>
  <si>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</si>
  <si>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</si>
  <si>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</si>
  <si>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</si>
  <si>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</si>
  <si>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</si>
  <si>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</si>
  <si>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</si>
  <si>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</si>
  <si>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</si>
  <si>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</si>
  <si>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</si>
  <si>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</si>
  <si>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</si>
  <si>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</si>
  <si>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</si>
  <si>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</si>
  <si>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</si>
  <si>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</si>
  <si>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</si>
  <si>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</si>
  <si>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</si>
  <si>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</si>
  <si>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</si>
  <si>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</si>
  <si>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</si>
  <si>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</si>
  <si>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</si>
  <si>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</si>
  <si>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</si>
  <si>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</si>
  <si>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</si>
  <si>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</si>
  <si>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</si>
  <si>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</si>
  <si>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</si>
  <si>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</si>
  <si>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</si>
  <si>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</si>
  <si>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</si>
  <si>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</si>
  <si>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</si>
  <si>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</si>
  <si>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</si>
  <si>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</si>
  <si>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</si>
  <si>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</si>
  <si>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</si>
  <si>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</si>
  <si>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</si>
  <si>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</si>
  <si>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</si>
  <si>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</si>
  <si>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</si>
  <si>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</si>
  <si>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</si>
  <si>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</si>
  <si>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</si>
  <si>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</si>
  <si>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</si>
  <si>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</si>
  <si>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</si>
  <si>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</si>
  <si>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</si>
  <si>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</si>
  <si>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</si>
  <si>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</si>
  <si>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</si>
  <si>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</si>
  <si>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</si>
  <si>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</si>
  <si>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</si>
  <si>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</si>
  <si>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</si>
  <si>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</si>
  <si>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</si>
  <si>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</si>
  <si>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</si>
  <si>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</si>
  <si>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</si>
  <si>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</si>
  <si>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</si>
  <si>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</si>
  <si>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</si>
  <si>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</si>
  <si>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</si>
  <si>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</si>
  <si>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 é uma pergunta de negocio respodida atraves de algumas analise de dado especifica</t>
  </si>
  <si>
    <t>pergunta de negocio 1 - qual faturamento Total de vendas de planos anuais( contendo todas as assinaturas agregadas)</t>
  </si>
  <si>
    <t>Soma de Total Value</t>
  </si>
  <si>
    <t>Rótulos de Linha</t>
  </si>
  <si>
    <t>Total Geral</t>
  </si>
  <si>
    <t xml:space="preserve">  </t>
  </si>
  <si>
    <t>pergunta de negocio 2 - qual faturamento Total de vendas de planos anuais( separadas por auto renovação não é por auto renovação)</t>
  </si>
  <si>
    <t xml:space="preserve">   XBOX GAME PASS SUBSXRIPITION SALES</t>
  </si>
  <si>
    <t>Soma de Minecraft Season Pass Price</t>
  </si>
  <si>
    <t>Soma de EA Play Season PassPrice</t>
  </si>
  <si>
    <t>pergunta de negocio 4 - Total de vendas de vendas de Assinaturas do Minecraft Season Pass</t>
  </si>
  <si>
    <t>pergunta de negocio 3 - Total de vendas de vendas de Assinaturas do EA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</si>
</sst>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5" formatCode="&quot;R$&quot;\ #,##0.00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rgb="FF00FF00"/>
      <name val="Aptos Display"/>
      <scheme val="major"/>
    </font>
    <font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8" borderId="0" applyNumberFormat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5" fillId="8" borderId="0" xfId="4" applyAlignment="1">
      <alignment horizontal="center"/>
    </xf>
    <xf numFmtId="0" fontId="6" fillId="6" borderId="0" xfId="0" applyFont="1" applyFill="1"/>
    <xf numFmtId="0" fontId="0" fillId="9" borderId="0" xfId="0" applyFill="1"/>
    <xf numFmtId="0" fontId="0" fillId="10" borderId="0" xfId="0" applyFill="1"/>
    <xf numFmtId="0" fontId="9" fillId="0" borderId="0" xfId="0" applyFont="1"/>
    <xf numFmtId="0" fontId="7" fillId="0" borderId="0" xfId="0" applyFont="1"/>
    <xf numFmtId="14" fontId="0" fillId="0" borderId="0" xfId="0" applyNumberFormat="1"/>
    <xf numFmtId="44" fontId="0" fillId="0" borderId="0" xfId="0" applyNumberFormat="1"/>
    <xf numFmtId="44" fontId="10" fillId="0" borderId="0" xfId="2" applyFont="1" applyAlignment="1">
      <alignment horizontal="right"/>
    </xf>
    <xf numFmtId="165" fontId="10" fillId="0" borderId="0" xfId="2" applyNumberFormat="1" applyFont="1"/>
    <xf numFmtId="0" fontId="8" fillId="0" borderId="2" xfId="3" applyFont="1" applyBorder="1" applyAlignment="1"/>
    <xf numFmtId="0" fontId="0" fillId="10" borderId="0" xfId="0" applyFill="1" applyAlignment="1">
      <alignment vertical="center"/>
    </xf>
  </cellXfs>
  <cellStyles count="5">
    <cellStyle name="Moeda" xfId="2" builtinId="4"/>
    <cellStyle name="Neutra" xfId="4" builtinId="28"/>
    <cellStyle name="Normal" xfId="0" builtinId="0"/>
    <cellStyle name="Título" xfId="3" builtinId="15"/>
    <cellStyle name="Título 1" xfId="1" builtinId="16"/>
  </cellStyles>
  <dxfs count="24"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9" formatCode="dd/mm/yyyy"/>
    </dxf>
    <dxf>
      <fill>
        <patternFill>
          <bgColor rgb="FF66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 patternType="solid">
          <bgColor theme="6" tint="0.79998168889431442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5" defaultTableStyle="TableStyleMedium2" defaultPivotStyle="PivotStyleLight16">
    <tableStyle name="Estilo de Segmentação de Dados 1" pivot="0" table="0" count="1">
      <tableStyleElement type="headerRow" dxfId="8"/>
    </tableStyle>
    <tableStyle name="Estilo de Segmentação de Dados 2" pivot="0" table="0" count="1"/>
    <tableStyle name="Estilo de Segmentação de Dados 3" pivot="0" table="0" count="1"/>
    <tableStyle name="Estilo de Segmentação de Dados 4" pivot="0" table="0" count="3">
      <tableStyleElement type="wholeTable" dxfId="6"/>
      <tableStyleElement type="headerRow" dxfId="7"/>
    </tableStyle>
    <tableStyle name="Estilo de Segmentação de Dados 5" pivot="0" table="0" count="1">
      <tableStyleElement type="wholeTable" dxfId="5"/>
    </tableStyle>
  </tableStyles>
  <colors>
    <mruColors>
      <color rgb="FF22C55E"/>
      <color rgb="FFE8E6E9"/>
      <color rgb="FF5BF6A8"/>
      <color rgb="FF00FF00"/>
      <color rgb="FF66FF66"/>
      <color rgb="FF010101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rgb="FF00B050"/>
            </patternFill>
          </fill>
        </dxf>
        <dxf>
          <fill>
            <patternFill>
              <bgColor rgb="FF0070C0"/>
            </patternFill>
          </fill>
        </dxf>
        <dxf>
          <font>
            <color auto="1"/>
          </font>
          <fill>
            <patternFill>
              <bgColor theme="9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1">
        <x14:slicerStyle name="Estilo de Segmentação de Dados 1"/>
        <x14:slicerStyle name="Estilo de Segmentação de Dados 2">
          <x14:slicerStyleElements>
            <x14:slicerStyleElement type="hoveredSelectedItemWithData" dxfId="2"/>
          </x14:slicerStyleElements>
        </x14:slicerStyle>
        <x14:slicerStyle name="Estilo de Segmentação de Dados 3">
          <x14:slicerStyleElements>
            <x14:slicerStyleElement type="selectedItemWithData" dxfId="1"/>
          </x14:slicerStyleElements>
        </x14:slicerStyle>
        <x14:slicerStyle name="Estilo de Segmentação de Dados 4">
          <x14:slicerStyleElements>
            <x14:slicerStyleElement type="selectedItemWithData" dxfId="0"/>
          </x14:slicerStyleElements>
        </x14:slicerStyle>
        <x14:slicerStyle name="Estilo de Segmentação de Dad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 de Vendas Xbox.xlsx]C̳álculos!tbl_anual_total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196656"/>
        <c:axId val="76197200"/>
      </c:barChart>
      <c:catAx>
        <c:axId val="7619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197200"/>
        <c:crosses val="autoZero"/>
        <c:auto val="1"/>
        <c:lblAlgn val="ctr"/>
        <c:lblOffset val="100"/>
        <c:noMultiLvlLbl val="0"/>
      </c:catAx>
      <c:valAx>
        <c:axId val="761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1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 de Vendas Xbox.xlsx]C̳álculos!tbl_anual_total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48059652976444"/>
          <c:y val="0.2380511811023622"/>
          <c:w val="0.6885889615223274"/>
          <c:h val="0.550389690871974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9056"/>
        <c:axId val="15000688"/>
      </c:barChart>
      <c:catAx>
        <c:axId val="1499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00688"/>
        <c:crosses val="autoZero"/>
        <c:auto val="1"/>
        <c:lblAlgn val="ctr"/>
        <c:lblOffset val="100"/>
        <c:noMultiLvlLbl val="0"/>
      </c:catAx>
      <c:valAx>
        <c:axId val="1500068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99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11" Type="http://schemas.openxmlformats.org/officeDocument/2006/relationships/image" Target="../media/image4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19050</xdr:colOff>
      <xdr:row>7</xdr:row>
      <xdr:rowOff>123825</xdr:rowOff>
    </xdr:from>
    <xdr:to>
      <xdr:col>6</xdr:col>
      <xdr:colOff>1809750</xdr:colOff>
      <xdr:row>23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295275</xdr:colOff>
      <xdr:row>7</xdr:row>
      <xdr:rowOff>171451</xdr:rowOff>
    </xdr:from>
    <xdr:to>
      <xdr:col>3</xdr:col>
      <xdr:colOff>2124075</xdr:colOff>
      <xdr:row>14</xdr:row>
      <xdr:rowOff>123826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200" y="1438276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88106</xdr:colOff>
      <xdr:row>4</xdr:row>
      <xdr:rowOff>22098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5" cy="974598"/>
        </a:xfrm>
        <a:prstGeom prst="rect">
          <a:avLst/>
        </a:prstGeom>
      </xdr:spPr>
    </xdr:pic>
    <xdr:clientData/>
  </xdr:twoCellAnchor>
  <xdr:twoCellAnchor>
    <xdr:from>
      <xdr:col>1</xdr:col>
      <xdr:colOff>261936</xdr:colOff>
      <xdr:row>18</xdr:row>
      <xdr:rowOff>95250</xdr:rowOff>
    </xdr:from>
    <xdr:to>
      <xdr:col>14</xdr:col>
      <xdr:colOff>23812</xdr:colOff>
      <xdr:row>33</xdr:row>
      <xdr:rowOff>159543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71437</xdr:colOff>
      <xdr:row>10</xdr:row>
      <xdr:rowOff>0</xdr:rowOff>
    </xdr:from>
    <xdr:to>
      <xdr:col>0</xdr:col>
      <xdr:colOff>3143249</xdr:colOff>
      <xdr:row>18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" y="2202656"/>
              <a:ext cx="3071812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235744</xdr:colOff>
      <xdr:row>4</xdr:row>
      <xdr:rowOff>9525</xdr:rowOff>
    </xdr:from>
    <xdr:to>
      <xdr:col>6</xdr:col>
      <xdr:colOff>47625</xdr:colOff>
      <xdr:row>12</xdr:row>
      <xdr:rowOff>11906</xdr:rowOff>
    </xdr:to>
    <xdr:grpSp>
      <xdr:nvGrpSpPr>
        <xdr:cNvPr id="15" name="Grupo 14"/>
        <xdr:cNvGrpSpPr/>
      </xdr:nvGrpSpPr>
      <xdr:grpSpPr>
        <a:xfrm>
          <a:off x="3414713" y="962025"/>
          <a:ext cx="4991100" cy="1609725"/>
          <a:chOff x="3414713" y="1200150"/>
          <a:chExt cx="4991100" cy="1609725"/>
        </a:xfrm>
      </xdr:grpSpPr>
      <xdr:sp macro="" textlink="">
        <xdr:nvSpPr>
          <xdr:cNvPr id="12" name="Retângulo 11"/>
          <xdr:cNvSpPr/>
        </xdr:nvSpPr>
        <xdr:spPr>
          <a:xfrm>
            <a:off x="3417094" y="1202531"/>
            <a:ext cx="4988719" cy="160734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4">
        <xdr:nvSpPr>
          <xdr:cNvPr id="9" name="Retângulo de cantos arredondados 8"/>
          <xdr:cNvSpPr/>
        </xdr:nvSpPr>
        <xdr:spPr>
          <a:xfrm>
            <a:off x="4762501" y="1678778"/>
            <a:ext cx="3512344" cy="102393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76B79FC0-04BC-4175-9943-50E9C1C3F797}" type="TxLink">
              <a:rPr lang="en-US" sz="2800" b="0" i="0" u="none" strike="noStrike">
                <a:solidFill>
                  <a:srgbClr val="00FF00"/>
                </a:solidFill>
                <a:latin typeface="Aptos Narrow"/>
              </a:rPr>
              <a:pPr algn="l"/>
              <a:t> R$ 600,00 </a:t>
            </a:fld>
            <a:endParaRPr lang="pt-BR" sz="2800">
              <a:solidFill>
                <a:srgbClr val="00FF00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71875" y="1583530"/>
            <a:ext cx="1371600" cy="1152525"/>
          </a:xfrm>
          <a:prstGeom prst="rect">
            <a:avLst/>
          </a:prstGeom>
        </xdr:spPr>
      </xdr:pic>
      <xdr:sp macro="" textlink="">
        <xdr:nvSpPr>
          <xdr:cNvPr id="13" name="Retângulo 12"/>
          <xdr:cNvSpPr/>
        </xdr:nvSpPr>
        <xdr:spPr>
          <a:xfrm>
            <a:off x="3414713" y="1200150"/>
            <a:ext cx="4988719" cy="514350"/>
          </a:xfrm>
          <a:prstGeom prst="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407194</xdr:colOff>
      <xdr:row>4</xdr:row>
      <xdr:rowOff>23813</xdr:rowOff>
    </xdr:from>
    <xdr:to>
      <xdr:col>14</xdr:col>
      <xdr:colOff>71439</xdr:colOff>
      <xdr:row>12</xdr:row>
      <xdr:rowOff>26194</xdr:rowOff>
    </xdr:to>
    <xdr:grpSp>
      <xdr:nvGrpSpPr>
        <xdr:cNvPr id="28" name="Grupo 27"/>
        <xdr:cNvGrpSpPr/>
      </xdr:nvGrpSpPr>
      <xdr:grpSpPr>
        <a:xfrm>
          <a:off x="8765382" y="976313"/>
          <a:ext cx="4998245" cy="1609725"/>
          <a:chOff x="8765382" y="976313"/>
          <a:chExt cx="4998245" cy="1609725"/>
        </a:xfrm>
      </xdr:grpSpPr>
      <xdr:sp macro="" textlink="">
        <xdr:nvSpPr>
          <xdr:cNvPr id="17" name="Retângulo 16"/>
          <xdr:cNvSpPr/>
        </xdr:nvSpPr>
        <xdr:spPr>
          <a:xfrm>
            <a:off x="8765382" y="978694"/>
            <a:ext cx="4988719" cy="160734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4">
        <xdr:nvSpPr>
          <xdr:cNvPr id="18" name="Retângulo de cantos arredondados 17"/>
          <xdr:cNvSpPr/>
        </xdr:nvSpPr>
        <xdr:spPr>
          <a:xfrm>
            <a:off x="10801352" y="1526378"/>
            <a:ext cx="2712242" cy="102393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fld id="{FE0FF882-9151-47C9-AE6F-14C6FFDDC631}" type="TxLink">
              <a:rPr lang="en-US" sz="2800" b="0" i="0" u="none" strike="noStrike">
                <a:solidFill>
                  <a:srgbClr val="00FF00"/>
                </a:solidFill>
                <a:latin typeface="Aptos Narrow"/>
                <a:ea typeface="+mn-ea"/>
                <a:cs typeface="+mn-cs"/>
              </a:rPr>
              <a:pPr marL="0" indent="0" algn="l"/>
              <a:t>R$ 940,00</a:t>
            </a:fld>
            <a:endParaRPr lang="pt-BR" sz="2800" b="0" i="0" u="none" strike="noStrike">
              <a:solidFill>
                <a:srgbClr val="00FF00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0" name="Retângulo 19"/>
          <xdr:cNvSpPr/>
        </xdr:nvSpPr>
        <xdr:spPr>
          <a:xfrm>
            <a:off x="8774908" y="976313"/>
            <a:ext cx="4988719" cy="514350"/>
          </a:xfrm>
          <a:prstGeom prst="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1" name="Agrupar 16">
            <a:extLst>
              <a:ext uri="{FF2B5EF4-FFF2-40B4-BE49-F238E27FC236}">
                <a16:creationId xmlns:a16="http://schemas.microsoft.com/office/drawing/2014/main" xmlns="" id="{A71E6AF1-ADEE-EB3B-0380-7B4EF5640C97}"/>
              </a:ext>
            </a:extLst>
          </xdr:cNvPr>
          <xdr:cNvGrpSpPr/>
        </xdr:nvGrpSpPr>
        <xdr:grpSpPr>
          <a:xfrm>
            <a:off x="8860632" y="1693070"/>
            <a:ext cx="1778076" cy="71437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xmlns="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13">
              <a:extLst>
                <a:ext uri="{FF2B5EF4-FFF2-40B4-BE49-F238E27FC236}">
                  <a16:creationId xmlns:a16="http://schemas.microsoft.com/office/drawing/2014/main" xmlns="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273843</xdr:colOff>
      <xdr:row>16</xdr:row>
      <xdr:rowOff>0</xdr:rowOff>
    </xdr:from>
    <xdr:to>
      <xdr:col>14</xdr:col>
      <xdr:colOff>35718</xdr:colOff>
      <xdr:row>18</xdr:row>
      <xdr:rowOff>157163</xdr:rowOff>
    </xdr:to>
    <xdr:sp macro="" textlink="">
      <xdr:nvSpPr>
        <xdr:cNvPr id="24" name="Retângulo 23"/>
        <xdr:cNvSpPr/>
      </xdr:nvSpPr>
      <xdr:spPr>
        <a:xfrm>
          <a:off x="3452812" y="3512344"/>
          <a:ext cx="10275094" cy="514350"/>
        </a:xfrm>
        <a:prstGeom prst="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SUBSCRIPTION  XBOX GAME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964406</xdr:colOff>
      <xdr:row>3</xdr:row>
      <xdr:rowOff>107156</xdr:rowOff>
    </xdr:from>
    <xdr:to>
      <xdr:col>0</xdr:col>
      <xdr:colOff>2166938</xdr:colOff>
      <xdr:row>7</xdr:row>
      <xdr:rowOff>11906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964406" y="928687"/>
          <a:ext cx="1202532" cy="750094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535781</xdr:colOff>
      <xdr:row>7</xdr:row>
      <xdr:rowOff>23812</xdr:rowOff>
    </xdr:from>
    <xdr:to>
      <xdr:col>0</xdr:col>
      <xdr:colOff>2881312</xdr:colOff>
      <xdr:row>9</xdr:row>
      <xdr:rowOff>95249</xdr:rowOff>
    </xdr:to>
    <xdr:sp macro="" textlink="">
      <xdr:nvSpPr>
        <xdr:cNvPr id="26" name="Retângulo 25"/>
        <xdr:cNvSpPr/>
      </xdr:nvSpPr>
      <xdr:spPr>
        <a:xfrm>
          <a:off x="535781" y="1690687"/>
          <a:ext cx="2345531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6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Vinda, Maria</a:t>
          </a:r>
          <a:endParaRPr lang="pt-BR" sz="16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1</xdr:col>
      <xdr:colOff>166686</xdr:colOff>
      <xdr:row>1</xdr:row>
      <xdr:rowOff>47624</xdr:rowOff>
    </xdr:from>
    <xdr:ext cx="6322219" cy="286938"/>
    <xdr:sp macro="" textlink="">
      <xdr:nvSpPr>
        <xdr:cNvPr id="27" name="CaixaDeTexto 26"/>
        <xdr:cNvSpPr txBox="1"/>
      </xdr:nvSpPr>
      <xdr:spPr>
        <a:xfrm>
          <a:off x="3345655" y="666749"/>
          <a:ext cx="6322219" cy="2869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Período</a:t>
          </a:r>
          <a:r>
            <a:rPr lang="pt-BR" sz="1100" baseline="0"/>
            <a:t> de apuração 01/01/2024 - 31/12/2024 | Atualizado 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15/02/2026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s" refreshedDate="46068.5219119213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x v="0"/>
    <n v="15"/>
    <x v="0"/>
    <x v="0"/>
    <x v="0"/>
    <s v="Yes"/>
    <n v="20"/>
    <n v="5"/>
    <n v="60"/>
  </r>
  <r>
    <n v="3232"/>
    <x v="1"/>
    <x v="1"/>
    <x v="1"/>
    <x v="1"/>
    <n v="5"/>
    <x v="1"/>
    <x v="1"/>
    <x v="1"/>
    <s v="No"/>
    <n v="0"/>
    <n v="0"/>
    <n v="5"/>
  </r>
  <r>
    <n v="3233"/>
    <x v="2"/>
    <x v="2"/>
    <x v="2"/>
    <x v="0"/>
    <n v="10"/>
    <x v="2"/>
    <x v="1"/>
    <x v="1"/>
    <s v="Yes"/>
    <n v="20"/>
    <n v="10"/>
    <n v="20"/>
  </r>
  <r>
    <n v="3234"/>
    <x v="3"/>
    <x v="0"/>
    <x v="3"/>
    <x v="1"/>
    <n v="15"/>
    <x v="0"/>
    <x v="0"/>
    <x v="0"/>
    <s v="Yes"/>
    <n v="20"/>
    <n v="3"/>
    <n v="62"/>
  </r>
  <r>
    <n v="3235"/>
    <x v="4"/>
    <x v="1"/>
    <x v="4"/>
    <x v="0"/>
    <n v="5"/>
    <x v="0"/>
    <x v="1"/>
    <x v="1"/>
    <s v="No"/>
    <n v="0"/>
    <n v="1"/>
    <n v="4"/>
  </r>
  <r>
    <n v="3236"/>
    <x v="5"/>
    <x v="2"/>
    <x v="5"/>
    <x v="1"/>
    <n v="10"/>
    <x v="0"/>
    <x v="1"/>
    <x v="1"/>
    <s v="Yes"/>
    <n v="20"/>
    <n v="2"/>
    <n v="28"/>
  </r>
  <r>
    <n v="3237"/>
    <x v="6"/>
    <x v="0"/>
    <x v="6"/>
    <x v="0"/>
    <n v="15"/>
    <x v="2"/>
    <x v="0"/>
    <x v="0"/>
    <s v="Yes"/>
    <n v="20"/>
    <n v="10"/>
    <n v="55"/>
  </r>
  <r>
    <n v="3238"/>
    <x v="7"/>
    <x v="1"/>
    <x v="7"/>
    <x v="0"/>
    <n v="5"/>
    <x v="1"/>
    <x v="1"/>
    <x v="1"/>
    <s v="No"/>
    <n v="0"/>
    <n v="0"/>
    <n v="5"/>
  </r>
  <r>
    <n v="3239"/>
    <x v="8"/>
    <x v="0"/>
    <x v="4"/>
    <x v="1"/>
    <n v="15"/>
    <x v="0"/>
    <x v="0"/>
    <x v="0"/>
    <s v="Yes"/>
    <n v="20"/>
    <n v="5"/>
    <n v="60"/>
  </r>
  <r>
    <n v="3240"/>
    <x v="9"/>
    <x v="2"/>
    <x v="8"/>
    <x v="0"/>
    <n v="10"/>
    <x v="2"/>
    <x v="1"/>
    <x v="1"/>
    <s v="Yes"/>
    <n v="20"/>
    <n v="15"/>
    <n v="15"/>
  </r>
  <r>
    <n v="3241"/>
    <x v="10"/>
    <x v="1"/>
    <x v="9"/>
    <x v="1"/>
    <n v="5"/>
    <x v="0"/>
    <x v="1"/>
    <x v="1"/>
    <s v="No"/>
    <n v="0"/>
    <n v="1"/>
    <n v="4"/>
  </r>
  <r>
    <n v="3242"/>
    <x v="11"/>
    <x v="0"/>
    <x v="10"/>
    <x v="0"/>
    <n v="15"/>
    <x v="1"/>
    <x v="0"/>
    <x v="0"/>
    <s v="Yes"/>
    <n v="20"/>
    <n v="20"/>
    <n v="45"/>
  </r>
  <r>
    <n v="3243"/>
    <x v="12"/>
    <x v="2"/>
    <x v="11"/>
    <x v="1"/>
    <n v="10"/>
    <x v="0"/>
    <x v="1"/>
    <x v="1"/>
    <s v="Yes"/>
    <n v="20"/>
    <n v="10"/>
    <n v="20"/>
  </r>
  <r>
    <n v="3244"/>
    <x v="13"/>
    <x v="1"/>
    <x v="12"/>
    <x v="0"/>
    <n v="5"/>
    <x v="2"/>
    <x v="1"/>
    <x v="1"/>
    <s v="No"/>
    <n v="0"/>
    <n v="0"/>
    <n v="5"/>
  </r>
  <r>
    <n v="3245"/>
    <x v="14"/>
    <x v="0"/>
    <x v="13"/>
    <x v="1"/>
    <n v="15"/>
    <x v="0"/>
    <x v="0"/>
    <x v="0"/>
    <s v="Yes"/>
    <n v="20"/>
    <n v="8"/>
    <n v="57"/>
  </r>
  <r>
    <n v="3246"/>
    <x v="15"/>
    <x v="2"/>
    <x v="14"/>
    <x v="0"/>
    <n v="10"/>
    <x v="1"/>
    <x v="1"/>
    <x v="1"/>
    <s v="Yes"/>
    <n v="20"/>
    <n v="12"/>
    <n v="18"/>
  </r>
  <r>
    <n v="3247"/>
    <x v="16"/>
    <x v="1"/>
    <x v="15"/>
    <x v="1"/>
    <n v="5"/>
    <x v="0"/>
    <x v="1"/>
    <x v="1"/>
    <s v="No"/>
    <n v="0"/>
    <n v="2"/>
    <n v="3"/>
  </r>
  <r>
    <n v="3248"/>
    <x v="17"/>
    <x v="0"/>
    <x v="16"/>
    <x v="0"/>
    <n v="15"/>
    <x v="2"/>
    <x v="0"/>
    <x v="0"/>
    <s v="Yes"/>
    <n v="20"/>
    <n v="7"/>
    <n v="58"/>
  </r>
  <r>
    <n v="3249"/>
    <x v="18"/>
    <x v="2"/>
    <x v="17"/>
    <x v="1"/>
    <n v="10"/>
    <x v="0"/>
    <x v="1"/>
    <x v="1"/>
    <s v="Yes"/>
    <n v="20"/>
    <n v="5"/>
    <n v="25"/>
  </r>
  <r>
    <n v="3250"/>
    <x v="19"/>
    <x v="1"/>
    <x v="18"/>
    <x v="0"/>
    <n v="5"/>
    <x v="1"/>
    <x v="1"/>
    <x v="1"/>
    <s v="No"/>
    <n v="0"/>
    <n v="0"/>
    <n v="5"/>
  </r>
  <r>
    <n v="3251"/>
    <x v="20"/>
    <x v="0"/>
    <x v="19"/>
    <x v="1"/>
    <n v="15"/>
    <x v="0"/>
    <x v="0"/>
    <x v="0"/>
    <s v="Yes"/>
    <n v="20"/>
    <n v="3"/>
    <n v="62"/>
  </r>
  <r>
    <n v="3252"/>
    <x v="21"/>
    <x v="2"/>
    <x v="20"/>
    <x v="0"/>
    <n v="10"/>
    <x v="2"/>
    <x v="1"/>
    <x v="1"/>
    <s v="Yes"/>
    <n v="20"/>
    <n v="15"/>
    <n v="15"/>
  </r>
  <r>
    <n v="3253"/>
    <x v="22"/>
    <x v="1"/>
    <x v="21"/>
    <x v="1"/>
    <n v="5"/>
    <x v="0"/>
    <x v="1"/>
    <x v="1"/>
    <s v="No"/>
    <n v="0"/>
    <n v="1"/>
    <n v="4"/>
  </r>
  <r>
    <n v="3254"/>
    <x v="23"/>
    <x v="0"/>
    <x v="22"/>
    <x v="0"/>
    <n v="15"/>
    <x v="1"/>
    <x v="0"/>
    <x v="0"/>
    <s v="Yes"/>
    <n v="20"/>
    <n v="20"/>
    <n v="45"/>
  </r>
  <r>
    <n v="3255"/>
    <x v="24"/>
    <x v="2"/>
    <x v="23"/>
    <x v="1"/>
    <n v="10"/>
    <x v="0"/>
    <x v="1"/>
    <x v="1"/>
    <s v="Yes"/>
    <n v="20"/>
    <n v="10"/>
    <n v="20"/>
  </r>
  <r>
    <n v="3256"/>
    <x v="25"/>
    <x v="1"/>
    <x v="24"/>
    <x v="0"/>
    <n v="5"/>
    <x v="2"/>
    <x v="1"/>
    <x v="1"/>
    <s v="No"/>
    <n v="0"/>
    <n v="0"/>
    <n v="5"/>
  </r>
  <r>
    <n v="3257"/>
    <x v="26"/>
    <x v="0"/>
    <x v="25"/>
    <x v="1"/>
    <n v="15"/>
    <x v="0"/>
    <x v="0"/>
    <x v="0"/>
    <s v="Yes"/>
    <n v="20"/>
    <n v="5"/>
    <n v="60"/>
  </r>
  <r>
    <n v="3258"/>
    <x v="27"/>
    <x v="2"/>
    <x v="26"/>
    <x v="0"/>
    <n v="10"/>
    <x v="1"/>
    <x v="1"/>
    <x v="1"/>
    <s v="Yes"/>
    <n v="20"/>
    <n v="15"/>
    <n v="15"/>
  </r>
  <r>
    <n v="3259"/>
    <x v="28"/>
    <x v="1"/>
    <x v="27"/>
    <x v="1"/>
    <n v="5"/>
    <x v="0"/>
    <x v="1"/>
    <x v="1"/>
    <s v="No"/>
    <n v="0"/>
    <n v="1"/>
    <n v="4"/>
  </r>
  <r>
    <n v="3260"/>
    <x v="29"/>
    <x v="0"/>
    <x v="28"/>
    <x v="0"/>
    <n v="15"/>
    <x v="2"/>
    <x v="0"/>
    <x v="0"/>
    <s v="Yes"/>
    <n v="20"/>
    <n v="7"/>
    <n v="58"/>
  </r>
  <r>
    <n v="3261"/>
    <x v="30"/>
    <x v="2"/>
    <x v="29"/>
    <x v="1"/>
    <n v="10"/>
    <x v="0"/>
    <x v="1"/>
    <x v="1"/>
    <s v="Yes"/>
    <n v="20"/>
    <n v="10"/>
    <n v="20"/>
  </r>
  <r>
    <n v="3262"/>
    <x v="31"/>
    <x v="1"/>
    <x v="30"/>
    <x v="0"/>
    <n v="5"/>
    <x v="1"/>
    <x v="1"/>
    <x v="1"/>
    <s v="No"/>
    <n v="0"/>
    <n v="0"/>
    <n v="5"/>
  </r>
  <r>
    <n v="3263"/>
    <x v="32"/>
    <x v="0"/>
    <x v="31"/>
    <x v="1"/>
    <n v="15"/>
    <x v="0"/>
    <x v="0"/>
    <x v="0"/>
    <s v="Yes"/>
    <n v="20"/>
    <n v="3"/>
    <n v="62"/>
  </r>
  <r>
    <n v="3264"/>
    <x v="33"/>
    <x v="2"/>
    <x v="32"/>
    <x v="0"/>
    <n v="10"/>
    <x v="2"/>
    <x v="1"/>
    <x v="1"/>
    <s v="Yes"/>
    <n v="20"/>
    <n v="15"/>
    <n v="15"/>
  </r>
  <r>
    <n v="3265"/>
    <x v="34"/>
    <x v="1"/>
    <x v="33"/>
    <x v="1"/>
    <n v="5"/>
    <x v="0"/>
    <x v="1"/>
    <x v="1"/>
    <s v="No"/>
    <n v="0"/>
    <n v="1"/>
    <n v="4"/>
  </r>
  <r>
    <n v="3266"/>
    <x v="35"/>
    <x v="1"/>
    <x v="34"/>
    <x v="0"/>
    <n v="5"/>
    <x v="0"/>
    <x v="1"/>
    <x v="1"/>
    <s v="No"/>
    <n v="0"/>
    <n v="0"/>
    <n v="5"/>
  </r>
  <r>
    <n v="3267"/>
    <x v="36"/>
    <x v="0"/>
    <x v="35"/>
    <x v="1"/>
    <n v="15"/>
    <x v="2"/>
    <x v="0"/>
    <x v="0"/>
    <s v="Yes"/>
    <n v="20"/>
    <n v="7"/>
    <n v="58"/>
  </r>
  <r>
    <n v="3268"/>
    <x v="37"/>
    <x v="2"/>
    <x v="36"/>
    <x v="0"/>
    <n v="10"/>
    <x v="1"/>
    <x v="1"/>
    <x v="1"/>
    <s v="Yes"/>
    <n v="20"/>
    <n v="10"/>
    <n v="20"/>
  </r>
  <r>
    <n v="3269"/>
    <x v="38"/>
    <x v="1"/>
    <x v="37"/>
    <x v="1"/>
    <n v="5"/>
    <x v="2"/>
    <x v="1"/>
    <x v="1"/>
    <s v="No"/>
    <n v="0"/>
    <n v="1"/>
    <n v="4"/>
  </r>
  <r>
    <n v="3270"/>
    <x v="39"/>
    <x v="0"/>
    <x v="38"/>
    <x v="0"/>
    <n v="15"/>
    <x v="0"/>
    <x v="0"/>
    <x v="0"/>
    <s v="Yes"/>
    <n v="20"/>
    <n v="15"/>
    <n v="50"/>
  </r>
  <r>
    <n v="3271"/>
    <x v="40"/>
    <x v="2"/>
    <x v="39"/>
    <x v="1"/>
    <n v="10"/>
    <x v="0"/>
    <x v="1"/>
    <x v="1"/>
    <s v="Yes"/>
    <n v="20"/>
    <n v="5"/>
    <n v="25"/>
  </r>
  <r>
    <n v="3272"/>
    <x v="41"/>
    <x v="1"/>
    <x v="40"/>
    <x v="0"/>
    <n v="5"/>
    <x v="1"/>
    <x v="1"/>
    <x v="1"/>
    <s v="No"/>
    <n v="0"/>
    <n v="0"/>
    <n v="5"/>
  </r>
  <r>
    <n v="3273"/>
    <x v="42"/>
    <x v="0"/>
    <x v="41"/>
    <x v="1"/>
    <n v="15"/>
    <x v="2"/>
    <x v="0"/>
    <x v="0"/>
    <s v="Yes"/>
    <n v="20"/>
    <n v="20"/>
    <n v="45"/>
  </r>
  <r>
    <n v="3274"/>
    <x v="43"/>
    <x v="2"/>
    <x v="42"/>
    <x v="0"/>
    <n v="10"/>
    <x v="2"/>
    <x v="1"/>
    <x v="1"/>
    <s v="Yes"/>
    <n v="20"/>
    <n v="12"/>
    <n v="18"/>
  </r>
  <r>
    <n v="3275"/>
    <x v="44"/>
    <x v="1"/>
    <x v="43"/>
    <x v="1"/>
    <n v="5"/>
    <x v="0"/>
    <x v="1"/>
    <x v="1"/>
    <s v="No"/>
    <n v="0"/>
    <n v="2"/>
    <n v="3"/>
  </r>
  <r>
    <n v="3276"/>
    <x v="45"/>
    <x v="0"/>
    <x v="44"/>
    <x v="0"/>
    <n v="15"/>
    <x v="1"/>
    <x v="0"/>
    <x v="0"/>
    <s v="Yes"/>
    <n v="20"/>
    <n v="5"/>
    <n v="60"/>
  </r>
  <r>
    <n v="3277"/>
    <x v="46"/>
    <x v="2"/>
    <x v="45"/>
    <x v="1"/>
    <n v="10"/>
    <x v="0"/>
    <x v="1"/>
    <x v="1"/>
    <s v="Yes"/>
    <n v="20"/>
    <n v="10"/>
    <n v="20"/>
  </r>
  <r>
    <n v="3278"/>
    <x v="47"/>
    <x v="1"/>
    <x v="46"/>
    <x v="0"/>
    <n v="5"/>
    <x v="2"/>
    <x v="1"/>
    <x v="1"/>
    <s v="No"/>
    <n v="0"/>
    <n v="0"/>
    <n v="5"/>
  </r>
  <r>
    <n v="3279"/>
    <x v="48"/>
    <x v="0"/>
    <x v="47"/>
    <x v="1"/>
    <n v="15"/>
    <x v="0"/>
    <x v="0"/>
    <x v="0"/>
    <s v="Yes"/>
    <n v="20"/>
    <n v="3"/>
    <n v="62"/>
  </r>
  <r>
    <n v="3280"/>
    <x v="49"/>
    <x v="2"/>
    <x v="48"/>
    <x v="0"/>
    <n v="10"/>
    <x v="1"/>
    <x v="1"/>
    <x v="1"/>
    <s v="Yes"/>
    <n v="20"/>
    <n v="15"/>
    <n v="15"/>
  </r>
  <r>
    <n v="3281"/>
    <x v="50"/>
    <x v="1"/>
    <x v="49"/>
    <x v="1"/>
    <n v="5"/>
    <x v="0"/>
    <x v="1"/>
    <x v="1"/>
    <s v="No"/>
    <n v="0"/>
    <n v="1"/>
    <n v="4"/>
  </r>
  <r>
    <n v="3282"/>
    <x v="51"/>
    <x v="0"/>
    <x v="50"/>
    <x v="0"/>
    <n v="15"/>
    <x v="2"/>
    <x v="0"/>
    <x v="0"/>
    <s v="Yes"/>
    <n v="20"/>
    <n v="7"/>
    <n v="58"/>
  </r>
  <r>
    <n v="3283"/>
    <x v="52"/>
    <x v="2"/>
    <x v="51"/>
    <x v="1"/>
    <n v="10"/>
    <x v="0"/>
    <x v="1"/>
    <x v="1"/>
    <s v="Yes"/>
    <n v="20"/>
    <n v="10"/>
    <n v="20"/>
  </r>
  <r>
    <n v="3284"/>
    <x v="53"/>
    <x v="1"/>
    <x v="52"/>
    <x v="0"/>
    <n v="5"/>
    <x v="1"/>
    <x v="1"/>
    <x v="1"/>
    <s v="No"/>
    <n v="0"/>
    <n v="0"/>
    <n v="5"/>
  </r>
  <r>
    <n v="3285"/>
    <x v="54"/>
    <x v="0"/>
    <x v="53"/>
    <x v="1"/>
    <n v="15"/>
    <x v="0"/>
    <x v="0"/>
    <x v="0"/>
    <s v="Yes"/>
    <n v="20"/>
    <n v="20"/>
    <n v="45"/>
  </r>
  <r>
    <n v="3286"/>
    <x v="55"/>
    <x v="2"/>
    <x v="54"/>
    <x v="0"/>
    <n v="10"/>
    <x v="2"/>
    <x v="1"/>
    <x v="1"/>
    <s v="Yes"/>
    <n v="20"/>
    <n v="15"/>
    <n v="15"/>
  </r>
  <r>
    <n v="3287"/>
    <x v="56"/>
    <x v="1"/>
    <x v="55"/>
    <x v="1"/>
    <n v="5"/>
    <x v="0"/>
    <x v="1"/>
    <x v="1"/>
    <s v="No"/>
    <n v="0"/>
    <n v="1"/>
    <n v="4"/>
  </r>
  <r>
    <n v="3288"/>
    <x v="57"/>
    <x v="0"/>
    <x v="56"/>
    <x v="0"/>
    <n v="15"/>
    <x v="1"/>
    <x v="0"/>
    <x v="0"/>
    <s v="Yes"/>
    <n v="20"/>
    <n v="3"/>
    <n v="62"/>
  </r>
  <r>
    <n v="3289"/>
    <x v="58"/>
    <x v="2"/>
    <x v="57"/>
    <x v="1"/>
    <n v="10"/>
    <x v="0"/>
    <x v="1"/>
    <x v="1"/>
    <s v="Yes"/>
    <n v="20"/>
    <n v="10"/>
    <n v="20"/>
  </r>
  <r>
    <n v="3290"/>
    <x v="59"/>
    <x v="1"/>
    <x v="58"/>
    <x v="0"/>
    <n v="5"/>
    <x v="2"/>
    <x v="1"/>
    <x v="1"/>
    <s v="No"/>
    <n v="0"/>
    <n v="0"/>
    <n v="5"/>
  </r>
  <r>
    <n v="3291"/>
    <x v="60"/>
    <x v="0"/>
    <x v="59"/>
    <x v="1"/>
    <n v="15"/>
    <x v="0"/>
    <x v="0"/>
    <x v="0"/>
    <s v="Yes"/>
    <n v="20"/>
    <n v="5"/>
    <n v="60"/>
  </r>
  <r>
    <n v="3292"/>
    <x v="61"/>
    <x v="2"/>
    <x v="60"/>
    <x v="0"/>
    <n v="10"/>
    <x v="1"/>
    <x v="1"/>
    <x v="1"/>
    <s v="Yes"/>
    <n v="20"/>
    <n v="15"/>
    <n v="15"/>
  </r>
  <r>
    <n v="3293"/>
    <x v="62"/>
    <x v="1"/>
    <x v="61"/>
    <x v="1"/>
    <n v="5"/>
    <x v="0"/>
    <x v="1"/>
    <x v="1"/>
    <s v="No"/>
    <n v="0"/>
    <n v="1"/>
    <n v="4"/>
  </r>
  <r>
    <n v="3294"/>
    <x v="63"/>
    <x v="0"/>
    <x v="62"/>
    <x v="0"/>
    <n v="15"/>
    <x v="2"/>
    <x v="0"/>
    <x v="0"/>
    <s v="Yes"/>
    <n v="20"/>
    <n v="20"/>
    <n v="45"/>
  </r>
  <r>
    <n v="3295"/>
    <x v="64"/>
    <x v="2"/>
    <x v="63"/>
    <x v="1"/>
    <n v="10"/>
    <x v="0"/>
    <x v="1"/>
    <x v="1"/>
    <s v="Yes"/>
    <n v="20"/>
    <n v="5"/>
    <n v="25"/>
  </r>
  <r>
    <n v="3296"/>
    <x v="65"/>
    <x v="1"/>
    <x v="64"/>
    <x v="1"/>
    <n v="5"/>
    <x v="0"/>
    <x v="1"/>
    <x v="1"/>
    <s v="No"/>
    <n v="0"/>
    <n v="0"/>
    <n v="5"/>
  </r>
  <r>
    <n v="3297"/>
    <x v="66"/>
    <x v="0"/>
    <x v="65"/>
    <x v="0"/>
    <n v="15"/>
    <x v="2"/>
    <x v="0"/>
    <x v="0"/>
    <s v="Yes"/>
    <n v="20"/>
    <n v="7"/>
    <n v="58"/>
  </r>
  <r>
    <n v="3298"/>
    <x v="67"/>
    <x v="2"/>
    <x v="66"/>
    <x v="1"/>
    <n v="10"/>
    <x v="1"/>
    <x v="1"/>
    <x v="1"/>
    <s v="Yes"/>
    <n v="20"/>
    <n v="10"/>
    <n v="20"/>
  </r>
  <r>
    <n v="3299"/>
    <x v="68"/>
    <x v="1"/>
    <x v="67"/>
    <x v="0"/>
    <n v="5"/>
    <x v="2"/>
    <x v="1"/>
    <x v="1"/>
    <s v="No"/>
    <n v="0"/>
    <n v="1"/>
    <n v="4"/>
  </r>
  <r>
    <n v="3300"/>
    <x v="69"/>
    <x v="0"/>
    <x v="68"/>
    <x v="1"/>
    <n v="15"/>
    <x v="0"/>
    <x v="0"/>
    <x v="0"/>
    <s v="Yes"/>
    <n v="20"/>
    <n v="15"/>
    <n v="50"/>
  </r>
  <r>
    <n v="3301"/>
    <x v="70"/>
    <x v="2"/>
    <x v="69"/>
    <x v="0"/>
    <n v="10"/>
    <x v="0"/>
    <x v="1"/>
    <x v="1"/>
    <s v="Yes"/>
    <n v="20"/>
    <n v="5"/>
    <n v="25"/>
  </r>
  <r>
    <n v="3302"/>
    <x v="71"/>
    <x v="1"/>
    <x v="70"/>
    <x v="1"/>
    <n v="5"/>
    <x v="1"/>
    <x v="1"/>
    <x v="1"/>
    <s v="No"/>
    <n v="0"/>
    <n v="0"/>
    <n v="5"/>
  </r>
  <r>
    <n v="3303"/>
    <x v="72"/>
    <x v="0"/>
    <x v="71"/>
    <x v="0"/>
    <n v="15"/>
    <x v="2"/>
    <x v="0"/>
    <x v="0"/>
    <s v="Yes"/>
    <n v="20"/>
    <n v="20"/>
    <n v="45"/>
  </r>
  <r>
    <n v="3304"/>
    <x v="73"/>
    <x v="2"/>
    <x v="72"/>
    <x v="1"/>
    <n v="10"/>
    <x v="2"/>
    <x v="1"/>
    <x v="1"/>
    <s v="Yes"/>
    <n v="20"/>
    <n v="12"/>
    <n v="18"/>
  </r>
  <r>
    <n v="3305"/>
    <x v="74"/>
    <x v="1"/>
    <x v="73"/>
    <x v="0"/>
    <n v="5"/>
    <x v="0"/>
    <x v="1"/>
    <x v="1"/>
    <s v="No"/>
    <n v="0"/>
    <n v="2"/>
    <n v="3"/>
  </r>
  <r>
    <n v="3306"/>
    <x v="75"/>
    <x v="0"/>
    <x v="74"/>
    <x v="1"/>
    <n v="15"/>
    <x v="1"/>
    <x v="0"/>
    <x v="0"/>
    <s v="Yes"/>
    <n v="20"/>
    <n v="5"/>
    <n v="60"/>
  </r>
  <r>
    <n v="3307"/>
    <x v="76"/>
    <x v="2"/>
    <x v="75"/>
    <x v="0"/>
    <n v="10"/>
    <x v="0"/>
    <x v="1"/>
    <x v="1"/>
    <s v="Yes"/>
    <n v="20"/>
    <n v="10"/>
    <n v="20"/>
  </r>
  <r>
    <n v="3308"/>
    <x v="77"/>
    <x v="1"/>
    <x v="76"/>
    <x v="1"/>
    <n v="5"/>
    <x v="2"/>
    <x v="1"/>
    <x v="1"/>
    <s v="No"/>
    <n v="0"/>
    <n v="0"/>
    <n v="5"/>
  </r>
  <r>
    <n v="3309"/>
    <x v="78"/>
    <x v="0"/>
    <x v="77"/>
    <x v="0"/>
    <n v="15"/>
    <x v="0"/>
    <x v="0"/>
    <x v="0"/>
    <s v="Yes"/>
    <n v="20"/>
    <n v="3"/>
    <n v="62"/>
  </r>
  <r>
    <n v="3310"/>
    <x v="79"/>
    <x v="2"/>
    <x v="78"/>
    <x v="1"/>
    <n v="10"/>
    <x v="1"/>
    <x v="1"/>
    <x v="1"/>
    <s v="Yes"/>
    <n v="20"/>
    <n v="15"/>
    <n v="15"/>
  </r>
  <r>
    <n v="3311"/>
    <x v="80"/>
    <x v="1"/>
    <x v="79"/>
    <x v="0"/>
    <n v="5"/>
    <x v="0"/>
    <x v="1"/>
    <x v="1"/>
    <s v="No"/>
    <n v="0"/>
    <n v="1"/>
    <n v="4"/>
  </r>
  <r>
    <n v="3312"/>
    <x v="81"/>
    <x v="0"/>
    <x v="80"/>
    <x v="1"/>
    <n v="15"/>
    <x v="2"/>
    <x v="0"/>
    <x v="0"/>
    <s v="Yes"/>
    <n v="20"/>
    <n v="7"/>
    <n v="58"/>
  </r>
  <r>
    <n v="3313"/>
    <x v="82"/>
    <x v="2"/>
    <x v="81"/>
    <x v="0"/>
    <n v="10"/>
    <x v="0"/>
    <x v="1"/>
    <x v="1"/>
    <s v="Yes"/>
    <n v="20"/>
    <n v="10"/>
    <n v="20"/>
  </r>
  <r>
    <n v="3314"/>
    <x v="83"/>
    <x v="1"/>
    <x v="82"/>
    <x v="1"/>
    <n v="5"/>
    <x v="1"/>
    <x v="1"/>
    <x v="1"/>
    <s v="No"/>
    <n v="0"/>
    <n v="0"/>
    <n v="5"/>
  </r>
  <r>
    <n v="3315"/>
    <x v="84"/>
    <x v="0"/>
    <x v="83"/>
    <x v="0"/>
    <n v="15"/>
    <x v="0"/>
    <x v="0"/>
    <x v="0"/>
    <s v="Yes"/>
    <n v="20"/>
    <n v="20"/>
    <n v="45"/>
  </r>
  <r>
    <n v="3316"/>
    <x v="85"/>
    <x v="2"/>
    <x v="84"/>
    <x v="1"/>
    <n v="10"/>
    <x v="2"/>
    <x v="1"/>
    <x v="1"/>
    <s v="Yes"/>
    <n v="20"/>
    <n v="15"/>
    <n v="15"/>
  </r>
  <r>
    <n v="3317"/>
    <x v="86"/>
    <x v="1"/>
    <x v="85"/>
    <x v="0"/>
    <n v="5"/>
    <x v="0"/>
    <x v="1"/>
    <x v="1"/>
    <s v="No"/>
    <n v="0"/>
    <n v="1"/>
    <n v="4"/>
  </r>
  <r>
    <n v="3318"/>
    <x v="87"/>
    <x v="0"/>
    <x v="86"/>
    <x v="1"/>
    <n v="15"/>
    <x v="1"/>
    <x v="0"/>
    <x v="0"/>
    <s v="Yes"/>
    <n v="20"/>
    <n v="3"/>
    <n v="62"/>
  </r>
  <r>
    <n v="3319"/>
    <x v="88"/>
    <x v="2"/>
    <x v="87"/>
    <x v="0"/>
    <n v="10"/>
    <x v="0"/>
    <x v="1"/>
    <x v="1"/>
    <s v="Yes"/>
    <n v="20"/>
    <n v="10"/>
    <n v="20"/>
  </r>
  <r>
    <n v="3320"/>
    <x v="89"/>
    <x v="1"/>
    <x v="88"/>
    <x v="1"/>
    <n v="5"/>
    <x v="2"/>
    <x v="1"/>
    <x v="1"/>
    <s v="No"/>
    <n v="0"/>
    <n v="0"/>
    <n v="5"/>
  </r>
  <r>
    <n v="3321"/>
    <x v="90"/>
    <x v="0"/>
    <x v="89"/>
    <x v="0"/>
    <n v="15"/>
    <x v="0"/>
    <x v="0"/>
    <x v="0"/>
    <s v="Yes"/>
    <n v="20"/>
    <n v="5"/>
    <n v="60"/>
  </r>
  <r>
    <n v="3322"/>
    <x v="91"/>
    <x v="2"/>
    <x v="90"/>
    <x v="1"/>
    <n v="10"/>
    <x v="1"/>
    <x v="1"/>
    <x v="1"/>
    <s v="Yes"/>
    <n v="20"/>
    <n v="15"/>
    <n v="15"/>
  </r>
  <r>
    <n v="3323"/>
    <x v="92"/>
    <x v="1"/>
    <x v="91"/>
    <x v="0"/>
    <n v="5"/>
    <x v="0"/>
    <x v="1"/>
    <x v="1"/>
    <s v="No"/>
    <n v="0"/>
    <n v="1"/>
    <n v="4"/>
  </r>
  <r>
    <n v="3324"/>
    <x v="93"/>
    <x v="0"/>
    <x v="92"/>
    <x v="1"/>
    <n v="15"/>
    <x v="2"/>
    <x v="0"/>
    <x v="0"/>
    <s v="Yes"/>
    <n v="20"/>
    <n v="20"/>
    <n v="45"/>
  </r>
  <r>
    <n v="3325"/>
    <x v="94"/>
    <x v="2"/>
    <x v="93"/>
    <x v="0"/>
    <n v="10"/>
    <x v="2"/>
    <x v="1"/>
    <x v="1"/>
    <s v="Yes"/>
    <n v="20"/>
    <n v="15"/>
    <n v="15"/>
  </r>
  <r>
    <n v="3326"/>
    <x v="95"/>
    <x v="1"/>
    <x v="94"/>
    <x v="1"/>
    <n v="5"/>
    <x v="1"/>
    <x v="1"/>
    <x v="1"/>
    <s v="No"/>
    <n v="0"/>
    <n v="0"/>
    <n v="5"/>
  </r>
  <r>
    <n v="3327"/>
    <x v="96"/>
    <x v="0"/>
    <x v="95"/>
    <x v="0"/>
    <n v="15"/>
    <x v="0"/>
    <x v="0"/>
    <x v="0"/>
    <s v="Yes"/>
    <n v="20"/>
    <n v="7"/>
    <n v="58"/>
  </r>
  <r>
    <n v="3328"/>
    <x v="97"/>
    <x v="2"/>
    <x v="96"/>
    <x v="1"/>
    <n v="10"/>
    <x v="1"/>
    <x v="1"/>
    <x v="1"/>
    <s v="Yes"/>
    <n v="20"/>
    <n v="10"/>
    <n v="20"/>
  </r>
  <r>
    <n v="3329"/>
    <x v="98"/>
    <x v="1"/>
    <x v="97"/>
    <x v="0"/>
    <n v="5"/>
    <x v="2"/>
    <x v="1"/>
    <x v="1"/>
    <s v="No"/>
    <n v="0"/>
    <n v="1"/>
    <n v="4"/>
  </r>
  <r>
    <n v="3330"/>
    <x v="99"/>
    <x v="0"/>
    <x v="98"/>
    <x v="1"/>
    <n v="15"/>
    <x v="0"/>
    <x v="0"/>
    <x v="0"/>
    <s v="Yes"/>
    <n v="20"/>
    <n v="15"/>
    <n v="50"/>
  </r>
  <r>
    <n v="3331"/>
    <x v="100"/>
    <x v="2"/>
    <x v="99"/>
    <x v="0"/>
    <n v="10"/>
    <x v="0"/>
    <x v="1"/>
    <x v="1"/>
    <s v="Yes"/>
    <n v="20"/>
    <n v="5"/>
    <n v="25"/>
  </r>
  <r>
    <n v="3332"/>
    <x v="101"/>
    <x v="1"/>
    <x v="100"/>
    <x v="1"/>
    <n v="5"/>
    <x v="1"/>
    <x v="1"/>
    <x v="1"/>
    <s v="No"/>
    <n v="0"/>
    <n v="0"/>
    <n v="5"/>
  </r>
  <r>
    <n v="3333"/>
    <x v="102"/>
    <x v="0"/>
    <x v="101"/>
    <x v="0"/>
    <n v="15"/>
    <x v="2"/>
    <x v="0"/>
    <x v="0"/>
    <s v="Yes"/>
    <n v="20"/>
    <n v="20"/>
    <n v="45"/>
  </r>
  <r>
    <n v="3334"/>
    <x v="103"/>
    <x v="2"/>
    <x v="102"/>
    <x v="1"/>
    <n v="10"/>
    <x v="2"/>
    <x v="1"/>
    <x v="1"/>
    <s v="Yes"/>
    <n v="20"/>
    <n v="12"/>
    <n v="18"/>
  </r>
  <r>
    <n v="3335"/>
    <x v="104"/>
    <x v="1"/>
    <x v="103"/>
    <x v="0"/>
    <n v="5"/>
    <x v="0"/>
    <x v="1"/>
    <x v="1"/>
    <s v="No"/>
    <n v="0"/>
    <n v="2"/>
    <n v="3"/>
  </r>
  <r>
    <n v="3336"/>
    <x v="105"/>
    <x v="1"/>
    <x v="104"/>
    <x v="0"/>
    <n v="5"/>
    <x v="0"/>
    <x v="1"/>
    <x v="1"/>
    <s v="No"/>
    <n v="0"/>
    <n v="0"/>
    <n v="5"/>
  </r>
  <r>
    <n v="3337"/>
    <x v="106"/>
    <x v="0"/>
    <x v="105"/>
    <x v="1"/>
    <n v="15"/>
    <x v="2"/>
    <x v="0"/>
    <x v="0"/>
    <s v="Yes"/>
    <n v="20"/>
    <n v="7"/>
    <n v="58"/>
  </r>
  <r>
    <n v="3338"/>
    <x v="107"/>
    <x v="2"/>
    <x v="106"/>
    <x v="0"/>
    <n v="10"/>
    <x v="1"/>
    <x v="1"/>
    <x v="1"/>
    <s v="Yes"/>
    <n v="20"/>
    <n v="10"/>
    <n v="20"/>
  </r>
  <r>
    <n v="3339"/>
    <x v="108"/>
    <x v="1"/>
    <x v="107"/>
    <x v="1"/>
    <n v="5"/>
    <x v="2"/>
    <x v="1"/>
    <x v="1"/>
    <s v="No"/>
    <n v="0"/>
    <n v="1"/>
    <n v="4"/>
  </r>
  <r>
    <n v="3340"/>
    <x v="109"/>
    <x v="0"/>
    <x v="108"/>
    <x v="0"/>
    <n v="15"/>
    <x v="0"/>
    <x v="0"/>
    <x v="0"/>
    <s v="Yes"/>
    <n v="20"/>
    <n v="15"/>
    <n v="50"/>
  </r>
  <r>
    <n v="3341"/>
    <x v="110"/>
    <x v="2"/>
    <x v="109"/>
    <x v="1"/>
    <n v="10"/>
    <x v="0"/>
    <x v="1"/>
    <x v="1"/>
    <s v="Yes"/>
    <n v="20"/>
    <n v="5"/>
    <n v="25"/>
  </r>
  <r>
    <n v="3342"/>
    <x v="111"/>
    <x v="1"/>
    <x v="110"/>
    <x v="0"/>
    <n v="5"/>
    <x v="1"/>
    <x v="1"/>
    <x v="1"/>
    <s v="No"/>
    <n v="0"/>
    <n v="0"/>
    <n v="5"/>
  </r>
  <r>
    <n v="3343"/>
    <x v="112"/>
    <x v="0"/>
    <x v="111"/>
    <x v="1"/>
    <n v="15"/>
    <x v="2"/>
    <x v="0"/>
    <x v="0"/>
    <s v="Yes"/>
    <n v="20"/>
    <n v="20"/>
    <n v="45"/>
  </r>
  <r>
    <n v="3344"/>
    <x v="113"/>
    <x v="2"/>
    <x v="112"/>
    <x v="0"/>
    <n v="10"/>
    <x v="2"/>
    <x v="1"/>
    <x v="1"/>
    <s v="Yes"/>
    <n v="20"/>
    <n v="12"/>
    <n v="18"/>
  </r>
  <r>
    <n v="3345"/>
    <x v="114"/>
    <x v="1"/>
    <x v="113"/>
    <x v="1"/>
    <n v="5"/>
    <x v="0"/>
    <x v="1"/>
    <x v="1"/>
    <s v="No"/>
    <n v="0"/>
    <n v="2"/>
    <n v="3"/>
  </r>
  <r>
    <n v="3346"/>
    <x v="115"/>
    <x v="0"/>
    <x v="114"/>
    <x v="0"/>
    <n v="15"/>
    <x v="1"/>
    <x v="0"/>
    <x v="0"/>
    <s v="Yes"/>
    <n v="20"/>
    <n v="5"/>
    <n v="60"/>
  </r>
  <r>
    <n v="3347"/>
    <x v="116"/>
    <x v="2"/>
    <x v="115"/>
    <x v="1"/>
    <n v="10"/>
    <x v="0"/>
    <x v="1"/>
    <x v="1"/>
    <s v="Yes"/>
    <n v="20"/>
    <n v="10"/>
    <n v="20"/>
  </r>
  <r>
    <n v="3348"/>
    <x v="117"/>
    <x v="1"/>
    <x v="116"/>
    <x v="0"/>
    <n v="5"/>
    <x v="2"/>
    <x v="1"/>
    <x v="1"/>
    <s v="No"/>
    <n v="0"/>
    <n v="0"/>
    <n v="5"/>
  </r>
  <r>
    <n v="3349"/>
    <x v="93"/>
    <x v="0"/>
    <x v="117"/>
    <x v="1"/>
    <n v="15"/>
    <x v="0"/>
    <x v="0"/>
    <x v="0"/>
    <s v="Yes"/>
    <n v="20"/>
    <n v="3"/>
    <n v="62"/>
  </r>
  <r>
    <n v="3350"/>
    <x v="118"/>
    <x v="2"/>
    <x v="118"/>
    <x v="0"/>
    <n v="10"/>
    <x v="1"/>
    <x v="1"/>
    <x v="1"/>
    <s v="Yes"/>
    <n v="20"/>
    <n v="15"/>
    <n v="15"/>
  </r>
  <r>
    <n v="3351"/>
    <x v="119"/>
    <x v="1"/>
    <x v="119"/>
    <x v="1"/>
    <n v="5"/>
    <x v="0"/>
    <x v="1"/>
    <x v="1"/>
    <s v="No"/>
    <n v="0"/>
    <n v="1"/>
    <n v="4"/>
  </r>
  <r>
    <n v="3352"/>
    <x v="120"/>
    <x v="0"/>
    <x v="120"/>
    <x v="0"/>
    <n v="15"/>
    <x v="2"/>
    <x v="0"/>
    <x v="0"/>
    <s v="Yes"/>
    <n v="20"/>
    <n v="7"/>
    <n v="58"/>
  </r>
  <r>
    <n v="3353"/>
    <x v="121"/>
    <x v="2"/>
    <x v="121"/>
    <x v="1"/>
    <n v="10"/>
    <x v="0"/>
    <x v="1"/>
    <x v="1"/>
    <s v="Yes"/>
    <n v="20"/>
    <n v="10"/>
    <n v="20"/>
  </r>
  <r>
    <n v="3354"/>
    <x v="122"/>
    <x v="1"/>
    <x v="122"/>
    <x v="0"/>
    <n v="5"/>
    <x v="1"/>
    <x v="1"/>
    <x v="1"/>
    <s v="No"/>
    <n v="0"/>
    <n v="0"/>
    <n v="5"/>
  </r>
  <r>
    <n v="3355"/>
    <x v="123"/>
    <x v="0"/>
    <x v="123"/>
    <x v="1"/>
    <n v="15"/>
    <x v="0"/>
    <x v="0"/>
    <x v="0"/>
    <s v="Yes"/>
    <n v="20"/>
    <n v="20"/>
    <n v="45"/>
  </r>
  <r>
    <n v="3356"/>
    <x v="124"/>
    <x v="2"/>
    <x v="124"/>
    <x v="0"/>
    <n v="10"/>
    <x v="2"/>
    <x v="1"/>
    <x v="1"/>
    <s v="Yes"/>
    <n v="20"/>
    <n v="15"/>
    <n v="15"/>
  </r>
  <r>
    <n v="3357"/>
    <x v="125"/>
    <x v="1"/>
    <x v="125"/>
    <x v="1"/>
    <n v="5"/>
    <x v="0"/>
    <x v="1"/>
    <x v="1"/>
    <s v="No"/>
    <n v="0"/>
    <n v="1"/>
    <n v="4"/>
  </r>
  <r>
    <n v="3358"/>
    <x v="126"/>
    <x v="0"/>
    <x v="126"/>
    <x v="0"/>
    <n v="15"/>
    <x v="1"/>
    <x v="0"/>
    <x v="0"/>
    <s v="Yes"/>
    <n v="20"/>
    <n v="3"/>
    <n v="62"/>
  </r>
  <r>
    <n v="3359"/>
    <x v="127"/>
    <x v="2"/>
    <x v="127"/>
    <x v="1"/>
    <n v="10"/>
    <x v="0"/>
    <x v="1"/>
    <x v="1"/>
    <s v="Yes"/>
    <n v="20"/>
    <n v="10"/>
    <n v="20"/>
  </r>
  <r>
    <n v="3360"/>
    <x v="128"/>
    <x v="1"/>
    <x v="128"/>
    <x v="0"/>
    <n v="5"/>
    <x v="2"/>
    <x v="1"/>
    <x v="1"/>
    <s v="No"/>
    <n v="0"/>
    <n v="0"/>
    <n v="5"/>
  </r>
  <r>
    <n v="3361"/>
    <x v="129"/>
    <x v="0"/>
    <x v="129"/>
    <x v="1"/>
    <n v="15"/>
    <x v="0"/>
    <x v="0"/>
    <x v="0"/>
    <s v="Yes"/>
    <n v="20"/>
    <n v="15"/>
    <n v="50"/>
  </r>
  <r>
    <n v="3362"/>
    <x v="130"/>
    <x v="2"/>
    <x v="130"/>
    <x v="0"/>
    <n v="10"/>
    <x v="1"/>
    <x v="1"/>
    <x v="1"/>
    <s v="Yes"/>
    <n v="20"/>
    <n v="15"/>
    <n v="15"/>
  </r>
  <r>
    <n v="3363"/>
    <x v="131"/>
    <x v="1"/>
    <x v="131"/>
    <x v="1"/>
    <n v="5"/>
    <x v="0"/>
    <x v="1"/>
    <x v="1"/>
    <s v="No"/>
    <n v="0"/>
    <n v="1"/>
    <n v="4"/>
  </r>
  <r>
    <n v="3364"/>
    <x v="132"/>
    <x v="0"/>
    <x v="132"/>
    <x v="0"/>
    <n v="15"/>
    <x v="2"/>
    <x v="0"/>
    <x v="0"/>
    <s v="Yes"/>
    <n v="20"/>
    <n v="7"/>
    <n v="58"/>
  </r>
  <r>
    <n v="3365"/>
    <x v="133"/>
    <x v="2"/>
    <x v="133"/>
    <x v="1"/>
    <n v="10"/>
    <x v="0"/>
    <x v="1"/>
    <x v="1"/>
    <s v="Yes"/>
    <n v="20"/>
    <n v="10"/>
    <n v="20"/>
  </r>
  <r>
    <n v="3366"/>
    <x v="134"/>
    <x v="1"/>
    <x v="134"/>
    <x v="0"/>
    <n v="5"/>
    <x v="0"/>
    <x v="1"/>
    <x v="1"/>
    <s v="No"/>
    <n v="0"/>
    <n v="0"/>
    <n v="5"/>
  </r>
  <r>
    <n v="3367"/>
    <x v="135"/>
    <x v="0"/>
    <x v="135"/>
    <x v="1"/>
    <n v="15"/>
    <x v="2"/>
    <x v="0"/>
    <x v="0"/>
    <s v="Yes"/>
    <n v="20"/>
    <n v="7"/>
    <n v="58"/>
  </r>
  <r>
    <n v="3368"/>
    <x v="136"/>
    <x v="2"/>
    <x v="136"/>
    <x v="0"/>
    <n v="10"/>
    <x v="1"/>
    <x v="1"/>
    <x v="1"/>
    <s v="Yes"/>
    <n v="20"/>
    <n v="10"/>
    <n v="20"/>
  </r>
  <r>
    <n v="3369"/>
    <x v="137"/>
    <x v="1"/>
    <x v="137"/>
    <x v="1"/>
    <n v="5"/>
    <x v="2"/>
    <x v="1"/>
    <x v="1"/>
    <s v="No"/>
    <n v="0"/>
    <n v="1"/>
    <n v="4"/>
  </r>
  <r>
    <n v="3370"/>
    <x v="138"/>
    <x v="0"/>
    <x v="138"/>
    <x v="0"/>
    <n v="15"/>
    <x v="0"/>
    <x v="0"/>
    <x v="0"/>
    <s v="Yes"/>
    <n v="20"/>
    <n v="15"/>
    <n v="50"/>
  </r>
  <r>
    <n v="3371"/>
    <x v="139"/>
    <x v="2"/>
    <x v="139"/>
    <x v="1"/>
    <n v="10"/>
    <x v="0"/>
    <x v="1"/>
    <x v="1"/>
    <s v="Yes"/>
    <n v="20"/>
    <n v="5"/>
    <n v="25"/>
  </r>
  <r>
    <n v="3372"/>
    <x v="140"/>
    <x v="1"/>
    <x v="140"/>
    <x v="0"/>
    <n v="5"/>
    <x v="1"/>
    <x v="1"/>
    <x v="1"/>
    <s v="No"/>
    <n v="0"/>
    <n v="0"/>
    <n v="5"/>
  </r>
  <r>
    <n v="3373"/>
    <x v="141"/>
    <x v="0"/>
    <x v="141"/>
    <x v="1"/>
    <n v="15"/>
    <x v="2"/>
    <x v="0"/>
    <x v="0"/>
    <s v="Yes"/>
    <n v="20"/>
    <n v="20"/>
    <n v="45"/>
  </r>
  <r>
    <n v="3374"/>
    <x v="142"/>
    <x v="2"/>
    <x v="142"/>
    <x v="0"/>
    <n v="10"/>
    <x v="2"/>
    <x v="1"/>
    <x v="1"/>
    <s v="Yes"/>
    <n v="20"/>
    <n v="12"/>
    <n v="18"/>
  </r>
  <r>
    <n v="3375"/>
    <x v="143"/>
    <x v="1"/>
    <x v="143"/>
    <x v="1"/>
    <n v="5"/>
    <x v="0"/>
    <x v="1"/>
    <x v="1"/>
    <s v="No"/>
    <n v="0"/>
    <n v="2"/>
    <n v="3"/>
  </r>
  <r>
    <n v="3376"/>
    <x v="144"/>
    <x v="0"/>
    <x v="144"/>
    <x v="0"/>
    <n v="15"/>
    <x v="1"/>
    <x v="0"/>
    <x v="0"/>
    <s v="Yes"/>
    <n v="20"/>
    <n v="5"/>
    <n v="60"/>
  </r>
  <r>
    <n v="3377"/>
    <x v="145"/>
    <x v="2"/>
    <x v="145"/>
    <x v="1"/>
    <n v="10"/>
    <x v="0"/>
    <x v="1"/>
    <x v="1"/>
    <s v="Yes"/>
    <n v="20"/>
    <n v="10"/>
    <n v="20"/>
  </r>
  <r>
    <n v="3378"/>
    <x v="146"/>
    <x v="1"/>
    <x v="146"/>
    <x v="0"/>
    <n v="5"/>
    <x v="2"/>
    <x v="1"/>
    <x v="1"/>
    <s v="No"/>
    <n v="0"/>
    <n v="0"/>
    <n v="5"/>
  </r>
  <r>
    <n v="3379"/>
    <x v="147"/>
    <x v="0"/>
    <x v="147"/>
    <x v="1"/>
    <n v="15"/>
    <x v="0"/>
    <x v="0"/>
    <x v="0"/>
    <s v="Yes"/>
    <n v="20"/>
    <n v="3"/>
    <n v="62"/>
  </r>
  <r>
    <n v="3380"/>
    <x v="148"/>
    <x v="2"/>
    <x v="148"/>
    <x v="0"/>
    <n v="10"/>
    <x v="1"/>
    <x v="1"/>
    <x v="1"/>
    <s v="Yes"/>
    <n v="20"/>
    <n v="15"/>
    <n v="15"/>
  </r>
  <r>
    <n v="3381"/>
    <x v="149"/>
    <x v="1"/>
    <x v="149"/>
    <x v="1"/>
    <n v="5"/>
    <x v="0"/>
    <x v="1"/>
    <x v="1"/>
    <s v="No"/>
    <n v="0"/>
    <n v="1"/>
    <n v="4"/>
  </r>
  <r>
    <n v="3382"/>
    <x v="150"/>
    <x v="0"/>
    <x v="150"/>
    <x v="0"/>
    <n v="15"/>
    <x v="2"/>
    <x v="0"/>
    <x v="0"/>
    <s v="Yes"/>
    <n v="20"/>
    <n v="7"/>
    <n v="58"/>
  </r>
  <r>
    <n v="3383"/>
    <x v="151"/>
    <x v="2"/>
    <x v="151"/>
    <x v="1"/>
    <n v="10"/>
    <x v="0"/>
    <x v="1"/>
    <x v="1"/>
    <s v="Yes"/>
    <n v="20"/>
    <n v="10"/>
    <n v="20"/>
  </r>
  <r>
    <n v="3384"/>
    <x v="152"/>
    <x v="1"/>
    <x v="152"/>
    <x v="0"/>
    <n v="5"/>
    <x v="1"/>
    <x v="1"/>
    <x v="1"/>
    <s v="No"/>
    <n v="0"/>
    <n v="0"/>
    <n v="5"/>
  </r>
  <r>
    <n v="3385"/>
    <x v="153"/>
    <x v="0"/>
    <x v="153"/>
    <x v="1"/>
    <n v="15"/>
    <x v="0"/>
    <x v="0"/>
    <x v="0"/>
    <s v="Yes"/>
    <n v="20"/>
    <n v="20"/>
    <n v="45"/>
  </r>
  <r>
    <n v="3386"/>
    <x v="154"/>
    <x v="2"/>
    <x v="154"/>
    <x v="0"/>
    <n v="10"/>
    <x v="2"/>
    <x v="1"/>
    <x v="1"/>
    <s v="Yes"/>
    <n v="20"/>
    <n v="15"/>
    <n v="15"/>
  </r>
  <r>
    <n v="3387"/>
    <x v="155"/>
    <x v="1"/>
    <x v="155"/>
    <x v="1"/>
    <n v="5"/>
    <x v="0"/>
    <x v="1"/>
    <x v="1"/>
    <s v="No"/>
    <n v="0"/>
    <n v="1"/>
    <n v="4"/>
  </r>
  <r>
    <n v="3388"/>
    <x v="156"/>
    <x v="0"/>
    <x v="156"/>
    <x v="0"/>
    <n v="15"/>
    <x v="1"/>
    <x v="0"/>
    <x v="0"/>
    <s v="Yes"/>
    <n v="20"/>
    <n v="3"/>
    <n v="62"/>
  </r>
  <r>
    <n v="3389"/>
    <x v="157"/>
    <x v="2"/>
    <x v="157"/>
    <x v="1"/>
    <n v="10"/>
    <x v="0"/>
    <x v="1"/>
    <x v="1"/>
    <s v="Yes"/>
    <n v="20"/>
    <n v="10"/>
    <n v="20"/>
  </r>
  <r>
    <n v="3390"/>
    <x v="158"/>
    <x v="1"/>
    <x v="158"/>
    <x v="0"/>
    <n v="5"/>
    <x v="2"/>
    <x v="1"/>
    <x v="1"/>
    <s v="No"/>
    <n v="0"/>
    <n v="0"/>
    <n v="5"/>
  </r>
  <r>
    <n v="3391"/>
    <x v="58"/>
    <x v="0"/>
    <x v="159"/>
    <x v="1"/>
    <n v="15"/>
    <x v="0"/>
    <x v="0"/>
    <x v="0"/>
    <s v="Yes"/>
    <n v="20"/>
    <n v="15"/>
    <n v="50"/>
  </r>
  <r>
    <n v="3392"/>
    <x v="159"/>
    <x v="2"/>
    <x v="160"/>
    <x v="0"/>
    <n v="10"/>
    <x v="1"/>
    <x v="1"/>
    <x v="1"/>
    <s v="Yes"/>
    <n v="20"/>
    <n v="15"/>
    <n v="15"/>
  </r>
  <r>
    <n v="3393"/>
    <x v="160"/>
    <x v="1"/>
    <x v="161"/>
    <x v="1"/>
    <n v="5"/>
    <x v="0"/>
    <x v="1"/>
    <x v="1"/>
    <s v="No"/>
    <n v="0"/>
    <n v="1"/>
    <n v="4"/>
  </r>
  <r>
    <n v="3394"/>
    <x v="161"/>
    <x v="0"/>
    <x v="162"/>
    <x v="0"/>
    <n v="15"/>
    <x v="2"/>
    <x v="0"/>
    <x v="0"/>
    <s v="Yes"/>
    <n v="20"/>
    <n v="7"/>
    <n v="58"/>
  </r>
  <r>
    <n v="3395"/>
    <x v="162"/>
    <x v="2"/>
    <x v="163"/>
    <x v="1"/>
    <n v="10"/>
    <x v="0"/>
    <x v="1"/>
    <x v="1"/>
    <s v="Yes"/>
    <n v="20"/>
    <n v="10"/>
    <n v="20"/>
  </r>
  <r>
    <n v="3396"/>
    <x v="163"/>
    <x v="1"/>
    <x v="164"/>
    <x v="0"/>
    <n v="5"/>
    <x v="1"/>
    <x v="1"/>
    <x v="1"/>
    <s v="No"/>
    <n v="0"/>
    <n v="0"/>
    <n v="5"/>
  </r>
  <r>
    <n v="3397"/>
    <x v="90"/>
    <x v="0"/>
    <x v="165"/>
    <x v="1"/>
    <n v="15"/>
    <x v="0"/>
    <x v="0"/>
    <x v="0"/>
    <s v="Yes"/>
    <n v="20"/>
    <n v="20"/>
    <n v="45"/>
  </r>
  <r>
    <n v="3398"/>
    <x v="164"/>
    <x v="2"/>
    <x v="166"/>
    <x v="0"/>
    <n v="10"/>
    <x v="2"/>
    <x v="1"/>
    <x v="1"/>
    <s v="Yes"/>
    <n v="20"/>
    <n v="15"/>
    <n v="15"/>
  </r>
  <r>
    <n v="3399"/>
    <x v="165"/>
    <x v="1"/>
    <x v="167"/>
    <x v="1"/>
    <n v="5"/>
    <x v="0"/>
    <x v="1"/>
    <x v="1"/>
    <s v="No"/>
    <n v="0"/>
    <n v="1"/>
    <n v="4"/>
  </r>
  <r>
    <n v="3400"/>
    <x v="166"/>
    <x v="0"/>
    <x v="168"/>
    <x v="0"/>
    <n v="15"/>
    <x v="1"/>
    <x v="0"/>
    <x v="0"/>
    <s v="Yes"/>
    <n v="20"/>
    <n v="5"/>
    <n v="60"/>
  </r>
  <r>
    <n v="3401"/>
    <x v="167"/>
    <x v="2"/>
    <x v="169"/>
    <x v="1"/>
    <n v="10"/>
    <x v="0"/>
    <x v="1"/>
    <x v="1"/>
    <s v="Yes"/>
    <n v="20"/>
    <n v="10"/>
    <n v="20"/>
  </r>
  <r>
    <n v="3402"/>
    <x v="168"/>
    <x v="1"/>
    <x v="170"/>
    <x v="0"/>
    <n v="5"/>
    <x v="2"/>
    <x v="1"/>
    <x v="1"/>
    <s v="No"/>
    <n v="0"/>
    <n v="0"/>
    <n v="5"/>
  </r>
  <r>
    <n v="3403"/>
    <x v="169"/>
    <x v="0"/>
    <x v="171"/>
    <x v="1"/>
    <n v="15"/>
    <x v="0"/>
    <x v="0"/>
    <x v="0"/>
    <s v="Yes"/>
    <n v="20"/>
    <n v="3"/>
    <n v="62"/>
  </r>
  <r>
    <n v="3404"/>
    <x v="170"/>
    <x v="2"/>
    <x v="172"/>
    <x v="0"/>
    <n v="10"/>
    <x v="1"/>
    <x v="1"/>
    <x v="1"/>
    <s v="Yes"/>
    <n v="20"/>
    <n v="15"/>
    <n v="15"/>
  </r>
  <r>
    <n v="3405"/>
    <x v="171"/>
    <x v="1"/>
    <x v="173"/>
    <x v="1"/>
    <n v="5"/>
    <x v="0"/>
    <x v="1"/>
    <x v="1"/>
    <s v="No"/>
    <n v="0"/>
    <n v="1"/>
    <n v="4"/>
  </r>
  <r>
    <n v="3406"/>
    <x v="172"/>
    <x v="1"/>
    <x v="174"/>
    <x v="0"/>
    <n v="5"/>
    <x v="0"/>
    <x v="1"/>
    <x v="1"/>
    <s v="No"/>
    <n v="0"/>
    <n v="0"/>
    <n v="5"/>
  </r>
  <r>
    <n v="3407"/>
    <x v="173"/>
    <x v="0"/>
    <x v="175"/>
    <x v="1"/>
    <n v="15"/>
    <x v="2"/>
    <x v="0"/>
    <x v="0"/>
    <s v="Yes"/>
    <n v="20"/>
    <n v="7"/>
    <n v="58"/>
  </r>
  <r>
    <n v="3408"/>
    <x v="174"/>
    <x v="2"/>
    <x v="176"/>
    <x v="0"/>
    <n v="10"/>
    <x v="1"/>
    <x v="1"/>
    <x v="1"/>
    <s v="Yes"/>
    <n v="20"/>
    <n v="10"/>
    <n v="20"/>
  </r>
  <r>
    <n v="3409"/>
    <x v="175"/>
    <x v="1"/>
    <x v="177"/>
    <x v="1"/>
    <n v="5"/>
    <x v="2"/>
    <x v="1"/>
    <x v="1"/>
    <s v="No"/>
    <n v="0"/>
    <n v="1"/>
    <n v="4"/>
  </r>
  <r>
    <n v="3410"/>
    <x v="176"/>
    <x v="0"/>
    <x v="178"/>
    <x v="0"/>
    <n v="15"/>
    <x v="0"/>
    <x v="0"/>
    <x v="0"/>
    <s v="Yes"/>
    <n v="20"/>
    <n v="15"/>
    <n v="50"/>
  </r>
  <r>
    <n v="3411"/>
    <x v="177"/>
    <x v="2"/>
    <x v="179"/>
    <x v="1"/>
    <n v="10"/>
    <x v="0"/>
    <x v="1"/>
    <x v="1"/>
    <s v="Yes"/>
    <n v="20"/>
    <n v="5"/>
    <n v="25"/>
  </r>
  <r>
    <n v="3412"/>
    <x v="178"/>
    <x v="1"/>
    <x v="180"/>
    <x v="0"/>
    <n v="5"/>
    <x v="1"/>
    <x v="1"/>
    <x v="1"/>
    <s v="No"/>
    <n v="0"/>
    <n v="0"/>
    <n v="5"/>
  </r>
  <r>
    <n v="3413"/>
    <x v="179"/>
    <x v="0"/>
    <x v="181"/>
    <x v="1"/>
    <n v="15"/>
    <x v="2"/>
    <x v="0"/>
    <x v="0"/>
    <s v="Yes"/>
    <n v="20"/>
    <n v="20"/>
    <n v="45"/>
  </r>
  <r>
    <n v="3414"/>
    <x v="180"/>
    <x v="2"/>
    <x v="182"/>
    <x v="0"/>
    <n v="10"/>
    <x v="2"/>
    <x v="1"/>
    <x v="1"/>
    <s v="Yes"/>
    <n v="20"/>
    <n v="12"/>
    <n v="18"/>
  </r>
  <r>
    <n v="3415"/>
    <x v="181"/>
    <x v="1"/>
    <x v="183"/>
    <x v="1"/>
    <n v="5"/>
    <x v="0"/>
    <x v="1"/>
    <x v="1"/>
    <s v="No"/>
    <n v="0"/>
    <n v="2"/>
    <n v="3"/>
  </r>
  <r>
    <n v="3416"/>
    <x v="182"/>
    <x v="0"/>
    <x v="184"/>
    <x v="0"/>
    <n v="15"/>
    <x v="1"/>
    <x v="0"/>
    <x v="0"/>
    <s v="Yes"/>
    <n v="20"/>
    <n v="5"/>
    <n v="60"/>
  </r>
  <r>
    <n v="3417"/>
    <x v="183"/>
    <x v="2"/>
    <x v="185"/>
    <x v="1"/>
    <n v="10"/>
    <x v="0"/>
    <x v="1"/>
    <x v="1"/>
    <s v="Yes"/>
    <n v="20"/>
    <n v="10"/>
    <n v="20"/>
  </r>
  <r>
    <n v="3418"/>
    <x v="184"/>
    <x v="1"/>
    <x v="186"/>
    <x v="0"/>
    <n v="5"/>
    <x v="2"/>
    <x v="1"/>
    <x v="1"/>
    <s v="No"/>
    <n v="0"/>
    <n v="0"/>
    <n v="5"/>
  </r>
  <r>
    <n v="3419"/>
    <x v="185"/>
    <x v="0"/>
    <x v="187"/>
    <x v="1"/>
    <n v="15"/>
    <x v="0"/>
    <x v="0"/>
    <x v="0"/>
    <s v="Yes"/>
    <n v="20"/>
    <n v="3"/>
    <n v="62"/>
  </r>
  <r>
    <n v="3420"/>
    <x v="186"/>
    <x v="2"/>
    <x v="188"/>
    <x v="0"/>
    <n v="10"/>
    <x v="1"/>
    <x v="1"/>
    <x v="1"/>
    <s v="Yes"/>
    <n v="20"/>
    <n v="15"/>
    <n v="15"/>
  </r>
  <r>
    <n v="3421"/>
    <x v="15"/>
    <x v="1"/>
    <x v="189"/>
    <x v="1"/>
    <n v="5"/>
    <x v="0"/>
    <x v="1"/>
    <x v="1"/>
    <s v="No"/>
    <n v="0"/>
    <n v="1"/>
    <n v="4"/>
  </r>
  <r>
    <n v="3422"/>
    <x v="187"/>
    <x v="0"/>
    <x v="190"/>
    <x v="0"/>
    <n v="15"/>
    <x v="2"/>
    <x v="0"/>
    <x v="0"/>
    <s v="Yes"/>
    <n v="20"/>
    <n v="7"/>
    <n v="58"/>
  </r>
  <r>
    <n v="3423"/>
    <x v="188"/>
    <x v="2"/>
    <x v="191"/>
    <x v="1"/>
    <n v="10"/>
    <x v="0"/>
    <x v="1"/>
    <x v="1"/>
    <s v="Yes"/>
    <n v="20"/>
    <n v="10"/>
    <n v="20"/>
  </r>
  <r>
    <n v="3424"/>
    <x v="14"/>
    <x v="1"/>
    <x v="192"/>
    <x v="0"/>
    <n v="5"/>
    <x v="1"/>
    <x v="1"/>
    <x v="1"/>
    <s v="No"/>
    <n v="0"/>
    <n v="0"/>
    <n v="5"/>
  </r>
  <r>
    <n v="3425"/>
    <x v="189"/>
    <x v="0"/>
    <x v="193"/>
    <x v="1"/>
    <n v="15"/>
    <x v="0"/>
    <x v="0"/>
    <x v="0"/>
    <s v="Yes"/>
    <n v="20"/>
    <n v="20"/>
    <n v="45"/>
  </r>
  <r>
    <n v="3426"/>
    <x v="167"/>
    <x v="2"/>
    <x v="194"/>
    <x v="0"/>
    <n v="10"/>
    <x v="2"/>
    <x v="1"/>
    <x v="1"/>
    <s v="Yes"/>
    <n v="20"/>
    <n v="15"/>
    <n v="15"/>
  </r>
  <r>
    <n v="3427"/>
    <x v="190"/>
    <x v="1"/>
    <x v="195"/>
    <x v="1"/>
    <n v="5"/>
    <x v="0"/>
    <x v="1"/>
    <x v="1"/>
    <s v="No"/>
    <n v="0"/>
    <n v="1"/>
    <n v="4"/>
  </r>
  <r>
    <n v="3428"/>
    <x v="191"/>
    <x v="0"/>
    <x v="196"/>
    <x v="0"/>
    <n v="15"/>
    <x v="1"/>
    <x v="0"/>
    <x v="0"/>
    <s v="Yes"/>
    <n v="20"/>
    <n v="3"/>
    <n v="62"/>
  </r>
  <r>
    <n v="3429"/>
    <x v="192"/>
    <x v="2"/>
    <x v="197"/>
    <x v="1"/>
    <n v="10"/>
    <x v="0"/>
    <x v="1"/>
    <x v="1"/>
    <s v="Yes"/>
    <n v="20"/>
    <n v="10"/>
    <n v="20"/>
  </r>
  <r>
    <n v="3430"/>
    <x v="193"/>
    <x v="1"/>
    <x v="198"/>
    <x v="0"/>
    <n v="5"/>
    <x v="2"/>
    <x v="1"/>
    <x v="1"/>
    <s v="No"/>
    <n v="0"/>
    <n v="0"/>
    <n v="5"/>
  </r>
  <r>
    <n v="3431"/>
    <x v="194"/>
    <x v="0"/>
    <x v="199"/>
    <x v="1"/>
    <n v="15"/>
    <x v="0"/>
    <x v="0"/>
    <x v="0"/>
    <s v="Yes"/>
    <n v="20"/>
    <n v="15"/>
    <n v="50"/>
  </r>
  <r>
    <n v="3432"/>
    <x v="195"/>
    <x v="2"/>
    <x v="200"/>
    <x v="0"/>
    <n v="10"/>
    <x v="1"/>
    <x v="1"/>
    <x v="1"/>
    <s v="Yes"/>
    <n v="20"/>
    <n v="15"/>
    <n v="15"/>
  </r>
  <r>
    <n v="3433"/>
    <x v="196"/>
    <x v="1"/>
    <x v="201"/>
    <x v="1"/>
    <n v="5"/>
    <x v="0"/>
    <x v="1"/>
    <x v="1"/>
    <s v="No"/>
    <n v="0"/>
    <n v="1"/>
    <n v="4"/>
  </r>
  <r>
    <n v="3434"/>
    <x v="197"/>
    <x v="0"/>
    <x v="202"/>
    <x v="0"/>
    <n v="15"/>
    <x v="2"/>
    <x v="0"/>
    <x v="0"/>
    <s v="Yes"/>
    <n v="20"/>
    <n v="7"/>
    <n v="58"/>
  </r>
  <r>
    <n v="3435"/>
    <x v="198"/>
    <x v="2"/>
    <x v="203"/>
    <x v="1"/>
    <n v="10"/>
    <x v="0"/>
    <x v="1"/>
    <x v="1"/>
    <s v="Yes"/>
    <n v="20"/>
    <n v="10"/>
    <n v="20"/>
  </r>
  <r>
    <n v="3436"/>
    <x v="199"/>
    <x v="1"/>
    <x v="204"/>
    <x v="0"/>
    <n v="5"/>
    <x v="0"/>
    <x v="1"/>
    <x v="1"/>
    <s v="No"/>
    <n v="0"/>
    <n v="0"/>
    <n v="5"/>
  </r>
  <r>
    <n v="3437"/>
    <x v="200"/>
    <x v="0"/>
    <x v="205"/>
    <x v="1"/>
    <n v="15"/>
    <x v="2"/>
    <x v="0"/>
    <x v="0"/>
    <s v="Yes"/>
    <n v="20"/>
    <n v="7"/>
    <n v="58"/>
  </r>
  <r>
    <n v="3438"/>
    <x v="201"/>
    <x v="2"/>
    <x v="206"/>
    <x v="0"/>
    <n v="10"/>
    <x v="1"/>
    <x v="1"/>
    <x v="1"/>
    <s v="Yes"/>
    <n v="20"/>
    <n v="10"/>
    <n v="20"/>
  </r>
  <r>
    <n v="3439"/>
    <x v="202"/>
    <x v="1"/>
    <x v="207"/>
    <x v="1"/>
    <n v="5"/>
    <x v="2"/>
    <x v="1"/>
    <x v="1"/>
    <s v="No"/>
    <n v="0"/>
    <n v="1"/>
    <n v="4"/>
  </r>
  <r>
    <n v="3440"/>
    <x v="203"/>
    <x v="0"/>
    <x v="208"/>
    <x v="0"/>
    <n v="15"/>
    <x v="0"/>
    <x v="0"/>
    <x v="0"/>
    <s v="Yes"/>
    <n v="20"/>
    <n v="15"/>
    <n v="50"/>
  </r>
  <r>
    <n v="3441"/>
    <x v="204"/>
    <x v="2"/>
    <x v="209"/>
    <x v="1"/>
    <n v="10"/>
    <x v="0"/>
    <x v="1"/>
    <x v="1"/>
    <s v="Yes"/>
    <n v="20"/>
    <n v="5"/>
    <n v="25"/>
  </r>
  <r>
    <n v="3442"/>
    <x v="205"/>
    <x v="1"/>
    <x v="210"/>
    <x v="0"/>
    <n v="5"/>
    <x v="1"/>
    <x v="1"/>
    <x v="1"/>
    <s v="No"/>
    <n v="0"/>
    <n v="0"/>
    <n v="5"/>
  </r>
  <r>
    <n v="3443"/>
    <x v="206"/>
    <x v="0"/>
    <x v="211"/>
    <x v="1"/>
    <n v="15"/>
    <x v="2"/>
    <x v="0"/>
    <x v="0"/>
    <s v="Yes"/>
    <n v="20"/>
    <n v="20"/>
    <n v="45"/>
  </r>
  <r>
    <n v="3444"/>
    <x v="207"/>
    <x v="2"/>
    <x v="212"/>
    <x v="0"/>
    <n v="10"/>
    <x v="2"/>
    <x v="1"/>
    <x v="1"/>
    <s v="Yes"/>
    <n v="20"/>
    <n v="12"/>
    <n v="18"/>
  </r>
  <r>
    <n v="3445"/>
    <x v="37"/>
    <x v="1"/>
    <x v="213"/>
    <x v="1"/>
    <n v="5"/>
    <x v="0"/>
    <x v="1"/>
    <x v="1"/>
    <s v="No"/>
    <n v="0"/>
    <n v="2"/>
    <n v="3"/>
  </r>
  <r>
    <n v="3446"/>
    <x v="208"/>
    <x v="0"/>
    <x v="214"/>
    <x v="0"/>
    <n v="15"/>
    <x v="1"/>
    <x v="0"/>
    <x v="0"/>
    <s v="Yes"/>
    <n v="20"/>
    <n v="5"/>
    <n v="60"/>
  </r>
  <r>
    <n v="3447"/>
    <x v="209"/>
    <x v="2"/>
    <x v="215"/>
    <x v="1"/>
    <n v="10"/>
    <x v="0"/>
    <x v="1"/>
    <x v="1"/>
    <s v="Yes"/>
    <n v="20"/>
    <n v="10"/>
    <n v="20"/>
  </r>
  <r>
    <n v="3448"/>
    <x v="210"/>
    <x v="1"/>
    <x v="216"/>
    <x v="0"/>
    <n v="5"/>
    <x v="2"/>
    <x v="1"/>
    <x v="1"/>
    <s v="No"/>
    <n v="0"/>
    <n v="0"/>
    <n v="5"/>
  </r>
  <r>
    <n v="3449"/>
    <x v="211"/>
    <x v="0"/>
    <x v="217"/>
    <x v="1"/>
    <n v="15"/>
    <x v="0"/>
    <x v="0"/>
    <x v="0"/>
    <s v="Yes"/>
    <n v="20"/>
    <n v="3"/>
    <n v="62"/>
  </r>
  <r>
    <n v="3450"/>
    <x v="212"/>
    <x v="2"/>
    <x v="218"/>
    <x v="0"/>
    <n v="10"/>
    <x v="1"/>
    <x v="1"/>
    <x v="1"/>
    <s v="Yes"/>
    <n v="20"/>
    <n v="15"/>
    <n v="15"/>
  </r>
  <r>
    <n v="3451"/>
    <x v="213"/>
    <x v="1"/>
    <x v="219"/>
    <x v="1"/>
    <n v="5"/>
    <x v="0"/>
    <x v="1"/>
    <x v="1"/>
    <s v="No"/>
    <n v="0"/>
    <n v="1"/>
    <n v="4"/>
  </r>
  <r>
    <n v="3452"/>
    <x v="191"/>
    <x v="0"/>
    <x v="220"/>
    <x v="0"/>
    <n v="15"/>
    <x v="2"/>
    <x v="0"/>
    <x v="0"/>
    <s v="Yes"/>
    <n v="20"/>
    <n v="7"/>
    <n v="58"/>
  </r>
  <r>
    <n v="3453"/>
    <x v="45"/>
    <x v="2"/>
    <x v="221"/>
    <x v="1"/>
    <n v="10"/>
    <x v="0"/>
    <x v="1"/>
    <x v="1"/>
    <s v="Yes"/>
    <n v="20"/>
    <n v="10"/>
    <n v="20"/>
  </r>
  <r>
    <n v="3454"/>
    <x v="214"/>
    <x v="1"/>
    <x v="222"/>
    <x v="0"/>
    <n v="5"/>
    <x v="1"/>
    <x v="1"/>
    <x v="1"/>
    <s v="No"/>
    <n v="0"/>
    <n v="0"/>
    <n v="5"/>
  </r>
  <r>
    <n v="3455"/>
    <x v="215"/>
    <x v="0"/>
    <x v="223"/>
    <x v="1"/>
    <n v="15"/>
    <x v="0"/>
    <x v="0"/>
    <x v="0"/>
    <s v="Yes"/>
    <n v="20"/>
    <n v="20"/>
    <n v="45"/>
  </r>
  <r>
    <n v="3456"/>
    <x v="216"/>
    <x v="2"/>
    <x v="224"/>
    <x v="0"/>
    <n v="10"/>
    <x v="2"/>
    <x v="1"/>
    <x v="1"/>
    <s v="Yes"/>
    <n v="20"/>
    <n v="15"/>
    <n v="15"/>
  </r>
  <r>
    <n v="3457"/>
    <x v="217"/>
    <x v="1"/>
    <x v="225"/>
    <x v="1"/>
    <n v="5"/>
    <x v="0"/>
    <x v="1"/>
    <x v="1"/>
    <s v="No"/>
    <n v="0"/>
    <n v="1"/>
    <n v="4"/>
  </r>
  <r>
    <n v="3458"/>
    <x v="218"/>
    <x v="0"/>
    <x v="226"/>
    <x v="0"/>
    <n v="15"/>
    <x v="1"/>
    <x v="0"/>
    <x v="0"/>
    <s v="Yes"/>
    <n v="20"/>
    <n v="3"/>
    <n v="62"/>
  </r>
  <r>
    <n v="3459"/>
    <x v="219"/>
    <x v="2"/>
    <x v="227"/>
    <x v="1"/>
    <n v="10"/>
    <x v="0"/>
    <x v="1"/>
    <x v="1"/>
    <s v="Yes"/>
    <n v="20"/>
    <n v="10"/>
    <n v="20"/>
  </r>
  <r>
    <n v="3460"/>
    <x v="127"/>
    <x v="1"/>
    <x v="228"/>
    <x v="0"/>
    <n v="5"/>
    <x v="2"/>
    <x v="1"/>
    <x v="1"/>
    <s v="No"/>
    <n v="0"/>
    <n v="0"/>
    <n v="5"/>
  </r>
  <r>
    <n v="3461"/>
    <x v="220"/>
    <x v="0"/>
    <x v="229"/>
    <x v="1"/>
    <n v="15"/>
    <x v="0"/>
    <x v="0"/>
    <x v="0"/>
    <s v="Yes"/>
    <n v="20"/>
    <n v="15"/>
    <n v="50"/>
  </r>
  <r>
    <n v="3462"/>
    <x v="221"/>
    <x v="2"/>
    <x v="230"/>
    <x v="0"/>
    <n v="10"/>
    <x v="1"/>
    <x v="1"/>
    <x v="1"/>
    <s v="Yes"/>
    <n v="20"/>
    <n v="15"/>
    <n v="15"/>
  </r>
  <r>
    <n v="3463"/>
    <x v="222"/>
    <x v="1"/>
    <x v="231"/>
    <x v="1"/>
    <n v="5"/>
    <x v="0"/>
    <x v="1"/>
    <x v="1"/>
    <s v="No"/>
    <n v="0"/>
    <n v="1"/>
    <n v="4"/>
  </r>
  <r>
    <n v="3464"/>
    <x v="223"/>
    <x v="0"/>
    <x v="232"/>
    <x v="0"/>
    <n v="15"/>
    <x v="2"/>
    <x v="0"/>
    <x v="0"/>
    <s v="Yes"/>
    <n v="20"/>
    <n v="7"/>
    <n v="58"/>
  </r>
  <r>
    <n v="3465"/>
    <x v="224"/>
    <x v="2"/>
    <x v="233"/>
    <x v="1"/>
    <n v="10"/>
    <x v="0"/>
    <x v="1"/>
    <x v="1"/>
    <s v="Yes"/>
    <n v="20"/>
    <n v="10"/>
    <n v="20"/>
  </r>
  <r>
    <n v="3466"/>
    <x v="225"/>
    <x v="1"/>
    <x v="234"/>
    <x v="0"/>
    <n v="5"/>
    <x v="1"/>
    <x v="1"/>
    <x v="1"/>
    <s v="No"/>
    <n v="0"/>
    <n v="0"/>
    <n v="5"/>
  </r>
  <r>
    <n v="3467"/>
    <x v="226"/>
    <x v="0"/>
    <x v="235"/>
    <x v="1"/>
    <n v="15"/>
    <x v="0"/>
    <x v="0"/>
    <x v="0"/>
    <s v="Yes"/>
    <n v="20"/>
    <n v="15"/>
    <n v="50"/>
  </r>
  <r>
    <n v="3468"/>
    <x v="227"/>
    <x v="2"/>
    <x v="236"/>
    <x v="0"/>
    <n v="10"/>
    <x v="2"/>
    <x v="1"/>
    <x v="1"/>
    <s v="Yes"/>
    <n v="20"/>
    <n v="12"/>
    <n v="18"/>
  </r>
  <r>
    <n v="3469"/>
    <x v="228"/>
    <x v="1"/>
    <x v="237"/>
    <x v="1"/>
    <n v="5"/>
    <x v="0"/>
    <x v="1"/>
    <x v="1"/>
    <s v="No"/>
    <n v="0"/>
    <n v="2"/>
    <n v="3"/>
  </r>
  <r>
    <n v="3470"/>
    <x v="229"/>
    <x v="0"/>
    <x v="238"/>
    <x v="0"/>
    <n v="15"/>
    <x v="1"/>
    <x v="0"/>
    <x v="0"/>
    <s v="Yes"/>
    <n v="20"/>
    <n v="5"/>
    <n v="60"/>
  </r>
  <r>
    <n v="3471"/>
    <x v="230"/>
    <x v="2"/>
    <x v="239"/>
    <x v="1"/>
    <n v="10"/>
    <x v="0"/>
    <x v="1"/>
    <x v="1"/>
    <s v="Yes"/>
    <n v="20"/>
    <n v="10"/>
    <n v="20"/>
  </r>
  <r>
    <n v="3472"/>
    <x v="231"/>
    <x v="1"/>
    <x v="240"/>
    <x v="0"/>
    <n v="5"/>
    <x v="2"/>
    <x v="1"/>
    <x v="1"/>
    <s v="No"/>
    <n v="0"/>
    <n v="0"/>
    <n v="5"/>
  </r>
  <r>
    <n v="3473"/>
    <x v="140"/>
    <x v="0"/>
    <x v="241"/>
    <x v="1"/>
    <n v="15"/>
    <x v="0"/>
    <x v="0"/>
    <x v="0"/>
    <s v="Yes"/>
    <n v="20"/>
    <n v="3"/>
    <n v="62"/>
  </r>
  <r>
    <n v="3474"/>
    <x v="232"/>
    <x v="2"/>
    <x v="242"/>
    <x v="0"/>
    <n v="10"/>
    <x v="1"/>
    <x v="1"/>
    <x v="1"/>
    <s v="Yes"/>
    <n v="20"/>
    <n v="15"/>
    <n v="15"/>
  </r>
  <r>
    <n v="3475"/>
    <x v="233"/>
    <x v="1"/>
    <x v="243"/>
    <x v="1"/>
    <n v="5"/>
    <x v="0"/>
    <x v="1"/>
    <x v="1"/>
    <s v="No"/>
    <n v="0"/>
    <n v="1"/>
    <n v="4"/>
  </r>
  <r>
    <n v="3476"/>
    <x v="234"/>
    <x v="0"/>
    <x v="244"/>
    <x v="0"/>
    <n v="15"/>
    <x v="2"/>
    <x v="0"/>
    <x v="0"/>
    <s v="Yes"/>
    <n v="20"/>
    <n v="7"/>
    <n v="58"/>
  </r>
  <r>
    <n v="3477"/>
    <x v="235"/>
    <x v="2"/>
    <x v="245"/>
    <x v="1"/>
    <n v="10"/>
    <x v="0"/>
    <x v="1"/>
    <x v="1"/>
    <s v="Yes"/>
    <n v="20"/>
    <n v="10"/>
    <n v="20"/>
  </r>
  <r>
    <n v="3478"/>
    <x v="236"/>
    <x v="1"/>
    <x v="246"/>
    <x v="0"/>
    <n v="5"/>
    <x v="1"/>
    <x v="1"/>
    <x v="1"/>
    <s v="No"/>
    <n v="0"/>
    <n v="0"/>
    <n v="5"/>
  </r>
  <r>
    <n v="3479"/>
    <x v="237"/>
    <x v="0"/>
    <x v="247"/>
    <x v="1"/>
    <n v="15"/>
    <x v="0"/>
    <x v="0"/>
    <x v="0"/>
    <s v="Yes"/>
    <n v="20"/>
    <n v="20"/>
    <n v="45"/>
  </r>
  <r>
    <n v="3480"/>
    <x v="238"/>
    <x v="2"/>
    <x v="248"/>
    <x v="0"/>
    <n v="10"/>
    <x v="2"/>
    <x v="1"/>
    <x v="1"/>
    <s v="Yes"/>
    <n v="20"/>
    <n v="15"/>
    <n v="15"/>
  </r>
  <r>
    <n v="3481"/>
    <x v="239"/>
    <x v="1"/>
    <x v="249"/>
    <x v="1"/>
    <n v="5"/>
    <x v="0"/>
    <x v="1"/>
    <x v="1"/>
    <s v="No"/>
    <n v="0"/>
    <n v="1"/>
    <n v="4"/>
  </r>
  <r>
    <n v="3482"/>
    <x v="240"/>
    <x v="0"/>
    <x v="250"/>
    <x v="0"/>
    <n v="15"/>
    <x v="1"/>
    <x v="0"/>
    <x v="0"/>
    <s v="Yes"/>
    <n v="20"/>
    <n v="3"/>
    <n v="62"/>
  </r>
  <r>
    <n v="3483"/>
    <x v="241"/>
    <x v="2"/>
    <x v="251"/>
    <x v="1"/>
    <n v="10"/>
    <x v="0"/>
    <x v="1"/>
    <x v="1"/>
    <s v="Yes"/>
    <n v="20"/>
    <n v="10"/>
    <n v="20"/>
  </r>
  <r>
    <n v="3484"/>
    <x v="242"/>
    <x v="1"/>
    <x v="252"/>
    <x v="0"/>
    <n v="5"/>
    <x v="2"/>
    <x v="1"/>
    <x v="1"/>
    <s v="No"/>
    <n v="0"/>
    <n v="0"/>
    <n v="5"/>
  </r>
  <r>
    <n v="3485"/>
    <x v="243"/>
    <x v="0"/>
    <x v="253"/>
    <x v="1"/>
    <n v="15"/>
    <x v="0"/>
    <x v="0"/>
    <x v="0"/>
    <s v="Yes"/>
    <n v="20"/>
    <n v="15"/>
    <n v="50"/>
  </r>
  <r>
    <n v="3486"/>
    <x v="244"/>
    <x v="1"/>
    <x v="254"/>
    <x v="0"/>
    <n v="5"/>
    <x v="0"/>
    <x v="1"/>
    <x v="1"/>
    <s v="No"/>
    <n v="0"/>
    <n v="0"/>
    <n v="5"/>
  </r>
  <r>
    <n v="3487"/>
    <x v="245"/>
    <x v="0"/>
    <x v="255"/>
    <x v="1"/>
    <n v="15"/>
    <x v="2"/>
    <x v="0"/>
    <x v="0"/>
    <s v="Yes"/>
    <n v="20"/>
    <n v="7"/>
    <n v="58"/>
  </r>
  <r>
    <n v="3488"/>
    <x v="246"/>
    <x v="2"/>
    <x v="256"/>
    <x v="0"/>
    <n v="10"/>
    <x v="1"/>
    <x v="1"/>
    <x v="1"/>
    <s v="Yes"/>
    <n v="20"/>
    <n v="10"/>
    <n v="20"/>
  </r>
  <r>
    <n v="3489"/>
    <x v="247"/>
    <x v="1"/>
    <x v="257"/>
    <x v="1"/>
    <n v="5"/>
    <x v="2"/>
    <x v="1"/>
    <x v="1"/>
    <s v="No"/>
    <n v="0"/>
    <n v="1"/>
    <n v="4"/>
  </r>
  <r>
    <n v="3490"/>
    <x v="248"/>
    <x v="0"/>
    <x v="258"/>
    <x v="0"/>
    <n v="15"/>
    <x v="0"/>
    <x v="0"/>
    <x v="0"/>
    <s v="Yes"/>
    <n v="20"/>
    <n v="15"/>
    <n v="50"/>
  </r>
  <r>
    <n v="3491"/>
    <x v="249"/>
    <x v="2"/>
    <x v="259"/>
    <x v="1"/>
    <n v="10"/>
    <x v="0"/>
    <x v="1"/>
    <x v="1"/>
    <s v="Yes"/>
    <n v="20"/>
    <n v="5"/>
    <n v="25"/>
  </r>
  <r>
    <n v="3492"/>
    <x v="250"/>
    <x v="1"/>
    <x v="260"/>
    <x v="0"/>
    <n v="5"/>
    <x v="1"/>
    <x v="1"/>
    <x v="1"/>
    <s v="No"/>
    <n v="0"/>
    <n v="0"/>
    <n v="5"/>
  </r>
  <r>
    <n v="3493"/>
    <x v="251"/>
    <x v="0"/>
    <x v="261"/>
    <x v="1"/>
    <n v="15"/>
    <x v="2"/>
    <x v="0"/>
    <x v="0"/>
    <s v="Yes"/>
    <n v="20"/>
    <n v="20"/>
    <n v="45"/>
  </r>
  <r>
    <n v="3494"/>
    <x v="252"/>
    <x v="2"/>
    <x v="262"/>
    <x v="0"/>
    <n v="10"/>
    <x v="2"/>
    <x v="1"/>
    <x v="1"/>
    <s v="Yes"/>
    <n v="20"/>
    <n v="12"/>
    <n v="18"/>
  </r>
  <r>
    <n v="3495"/>
    <x v="253"/>
    <x v="1"/>
    <x v="263"/>
    <x v="1"/>
    <n v="5"/>
    <x v="0"/>
    <x v="1"/>
    <x v="1"/>
    <s v="No"/>
    <n v="0"/>
    <n v="2"/>
    <n v="3"/>
  </r>
  <r>
    <n v="3496"/>
    <x v="254"/>
    <x v="0"/>
    <x v="264"/>
    <x v="0"/>
    <n v="15"/>
    <x v="1"/>
    <x v="0"/>
    <x v="0"/>
    <s v="Yes"/>
    <n v="20"/>
    <n v="5"/>
    <n v="60"/>
  </r>
  <r>
    <n v="3497"/>
    <x v="255"/>
    <x v="2"/>
    <x v="265"/>
    <x v="1"/>
    <n v="10"/>
    <x v="0"/>
    <x v="1"/>
    <x v="1"/>
    <s v="Yes"/>
    <n v="20"/>
    <n v="10"/>
    <n v="20"/>
  </r>
  <r>
    <n v="3498"/>
    <x v="256"/>
    <x v="1"/>
    <x v="266"/>
    <x v="0"/>
    <n v="5"/>
    <x v="2"/>
    <x v="1"/>
    <x v="1"/>
    <s v="No"/>
    <n v="0"/>
    <n v="0"/>
    <n v="5"/>
  </r>
  <r>
    <n v="3499"/>
    <x v="257"/>
    <x v="0"/>
    <x v="267"/>
    <x v="1"/>
    <n v="15"/>
    <x v="0"/>
    <x v="0"/>
    <x v="0"/>
    <s v="Yes"/>
    <n v="20"/>
    <n v="3"/>
    <n v="62"/>
  </r>
  <r>
    <n v="3500"/>
    <x v="258"/>
    <x v="2"/>
    <x v="268"/>
    <x v="0"/>
    <n v="10"/>
    <x v="1"/>
    <x v="1"/>
    <x v="1"/>
    <s v="Yes"/>
    <n v="20"/>
    <n v="15"/>
    <n v="15"/>
  </r>
  <r>
    <n v="3501"/>
    <x v="259"/>
    <x v="1"/>
    <x v="269"/>
    <x v="1"/>
    <n v="5"/>
    <x v="0"/>
    <x v="1"/>
    <x v="1"/>
    <s v="No"/>
    <n v="0"/>
    <n v="1"/>
    <n v="4"/>
  </r>
  <r>
    <n v="3502"/>
    <x v="260"/>
    <x v="0"/>
    <x v="270"/>
    <x v="0"/>
    <n v="15"/>
    <x v="2"/>
    <x v="0"/>
    <x v="0"/>
    <s v="Yes"/>
    <n v="20"/>
    <n v="7"/>
    <n v="58"/>
  </r>
  <r>
    <n v="3503"/>
    <x v="119"/>
    <x v="2"/>
    <x v="271"/>
    <x v="1"/>
    <n v="10"/>
    <x v="0"/>
    <x v="1"/>
    <x v="1"/>
    <s v="Yes"/>
    <n v="20"/>
    <n v="10"/>
    <n v="20"/>
  </r>
  <r>
    <n v="3504"/>
    <x v="261"/>
    <x v="1"/>
    <x v="272"/>
    <x v="0"/>
    <n v="5"/>
    <x v="1"/>
    <x v="1"/>
    <x v="1"/>
    <s v="No"/>
    <n v="0"/>
    <n v="0"/>
    <n v="5"/>
  </r>
  <r>
    <n v="3505"/>
    <x v="262"/>
    <x v="0"/>
    <x v="273"/>
    <x v="1"/>
    <n v="15"/>
    <x v="0"/>
    <x v="0"/>
    <x v="0"/>
    <s v="Yes"/>
    <n v="20"/>
    <n v="20"/>
    <n v="45"/>
  </r>
  <r>
    <n v="3506"/>
    <x v="263"/>
    <x v="2"/>
    <x v="274"/>
    <x v="0"/>
    <n v="10"/>
    <x v="2"/>
    <x v="1"/>
    <x v="1"/>
    <s v="Yes"/>
    <n v="20"/>
    <n v="15"/>
    <n v="15"/>
  </r>
  <r>
    <n v="3507"/>
    <x v="264"/>
    <x v="1"/>
    <x v="275"/>
    <x v="1"/>
    <n v="5"/>
    <x v="0"/>
    <x v="1"/>
    <x v="1"/>
    <s v="No"/>
    <n v="0"/>
    <n v="1"/>
    <n v="4"/>
  </r>
  <r>
    <n v="3508"/>
    <x v="265"/>
    <x v="0"/>
    <x v="276"/>
    <x v="0"/>
    <n v="15"/>
    <x v="1"/>
    <x v="0"/>
    <x v="0"/>
    <s v="Yes"/>
    <n v="20"/>
    <n v="3"/>
    <n v="62"/>
  </r>
  <r>
    <n v="3509"/>
    <x v="266"/>
    <x v="2"/>
    <x v="277"/>
    <x v="1"/>
    <n v="10"/>
    <x v="0"/>
    <x v="1"/>
    <x v="1"/>
    <s v="Yes"/>
    <n v="20"/>
    <n v="10"/>
    <n v="20"/>
  </r>
  <r>
    <n v="3510"/>
    <x v="267"/>
    <x v="1"/>
    <x v="278"/>
    <x v="0"/>
    <n v="5"/>
    <x v="2"/>
    <x v="1"/>
    <x v="1"/>
    <s v="No"/>
    <n v="0"/>
    <n v="0"/>
    <n v="5"/>
  </r>
  <r>
    <n v="3511"/>
    <x v="268"/>
    <x v="0"/>
    <x v="279"/>
    <x v="1"/>
    <n v="15"/>
    <x v="0"/>
    <x v="0"/>
    <x v="0"/>
    <s v="Yes"/>
    <n v="20"/>
    <n v="15"/>
    <n v="50"/>
  </r>
  <r>
    <n v="3512"/>
    <x v="269"/>
    <x v="2"/>
    <x v="280"/>
    <x v="0"/>
    <n v="10"/>
    <x v="1"/>
    <x v="1"/>
    <x v="1"/>
    <s v="Yes"/>
    <n v="20"/>
    <n v="15"/>
    <n v="15"/>
  </r>
  <r>
    <n v="3513"/>
    <x v="270"/>
    <x v="1"/>
    <x v="281"/>
    <x v="1"/>
    <n v="5"/>
    <x v="0"/>
    <x v="1"/>
    <x v="1"/>
    <s v="No"/>
    <n v="0"/>
    <n v="1"/>
    <n v="4"/>
  </r>
  <r>
    <n v="3514"/>
    <x v="271"/>
    <x v="0"/>
    <x v="282"/>
    <x v="0"/>
    <n v="15"/>
    <x v="2"/>
    <x v="0"/>
    <x v="0"/>
    <s v="Yes"/>
    <n v="20"/>
    <n v="7"/>
    <n v="58"/>
  </r>
  <r>
    <n v="3515"/>
    <x v="130"/>
    <x v="2"/>
    <x v="283"/>
    <x v="1"/>
    <n v="10"/>
    <x v="0"/>
    <x v="1"/>
    <x v="1"/>
    <s v="Yes"/>
    <n v="20"/>
    <n v="10"/>
    <n v="20"/>
  </r>
  <r>
    <n v="3516"/>
    <x v="131"/>
    <x v="1"/>
    <x v="284"/>
    <x v="0"/>
    <n v="5"/>
    <x v="1"/>
    <x v="1"/>
    <x v="1"/>
    <s v="No"/>
    <n v="0"/>
    <n v="0"/>
    <n v="5"/>
  </r>
  <r>
    <n v="3517"/>
    <x v="181"/>
    <x v="0"/>
    <x v="285"/>
    <x v="1"/>
    <n v="15"/>
    <x v="0"/>
    <x v="0"/>
    <x v="0"/>
    <s v="Yes"/>
    <n v="20"/>
    <n v="20"/>
    <n v="45"/>
  </r>
  <r>
    <n v="3518"/>
    <x v="272"/>
    <x v="2"/>
    <x v="286"/>
    <x v="0"/>
    <n v="10"/>
    <x v="2"/>
    <x v="1"/>
    <x v="1"/>
    <s v="Yes"/>
    <n v="20"/>
    <n v="12"/>
    <n v="18"/>
  </r>
  <r>
    <n v="3519"/>
    <x v="273"/>
    <x v="1"/>
    <x v="287"/>
    <x v="1"/>
    <n v="5"/>
    <x v="0"/>
    <x v="1"/>
    <x v="1"/>
    <s v="No"/>
    <n v="0"/>
    <n v="2"/>
    <n v="3"/>
  </r>
  <r>
    <n v="3520"/>
    <x v="274"/>
    <x v="0"/>
    <x v="288"/>
    <x v="0"/>
    <n v="15"/>
    <x v="1"/>
    <x v="0"/>
    <x v="0"/>
    <s v="Yes"/>
    <n v="20"/>
    <n v="5"/>
    <n v="60"/>
  </r>
  <r>
    <n v="3521"/>
    <x v="275"/>
    <x v="2"/>
    <x v="289"/>
    <x v="1"/>
    <n v="10"/>
    <x v="0"/>
    <x v="1"/>
    <x v="1"/>
    <s v="Yes"/>
    <n v="20"/>
    <n v="10"/>
    <n v="20"/>
  </r>
  <r>
    <n v="3522"/>
    <x v="276"/>
    <x v="1"/>
    <x v="290"/>
    <x v="0"/>
    <n v="5"/>
    <x v="2"/>
    <x v="1"/>
    <x v="1"/>
    <s v="No"/>
    <n v="0"/>
    <n v="0"/>
    <n v="5"/>
  </r>
  <r>
    <n v="3523"/>
    <x v="277"/>
    <x v="0"/>
    <x v="291"/>
    <x v="1"/>
    <n v="15"/>
    <x v="0"/>
    <x v="0"/>
    <x v="0"/>
    <s v="Yes"/>
    <n v="20"/>
    <n v="3"/>
    <n v="62"/>
  </r>
  <r>
    <n v="3524"/>
    <x v="278"/>
    <x v="2"/>
    <x v="292"/>
    <x v="0"/>
    <n v="10"/>
    <x v="1"/>
    <x v="1"/>
    <x v="1"/>
    <s v="Yes"/>
    <n v="20"/>
    <n v="15"/>
    <n v="15"/>
  </r>
  <r>
    <n v="3525"/>
    <x v="279"/>
    <x v="1"/>
    <x v="293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5" dataOnRows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8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0">
      <pivotArea outline="0" collapsedLevelsAreSubtotals="1" fieldPosition="0"/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15" dataOnRows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8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Price" fld="8" baseField="2" baseItem="0"/>
  </dataFields>
  <formats count="2">
    <format dxfId="3">
      <pivotArea outline="0" collapsedLevelsAreSubtotals="1" fieldPosition="0"/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ual_total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5"/>
  </dataFields>
  <formats count="1"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ual_total"/>
    <pivotTable tabId="3" name="tbl_easeasonpass_total"/>
    <pivotTable tabId="3" name="Tabela dinâmica4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Estilo de Segmentação de Dados 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Estilo de Segmentação de Dados 4" rowHeight="241300"/>
</slicers>
</file>

<file path=xl/tables/table1.xml><?xml version="1.0" encoding="utf-8"?>
<table xmlns="http://schemas.openxmlformats.org/spreadsheetml/2006/main" id="1" name="Tabela1" displayName="Tabela1" ref="A1:M296" totalsRowShown="0" dataDxfId="23">
  <autoFilter ref="A1:M296">
    <filterColumn colId="7">
      <filters>
        <filter val="Yes"/>
      </filters>
    </filterColumn>
  </autoFilter>
  <tableColumns count="13">
    <tableColumn id="1" name="Subscriber ID" dataDxfId="22"/>
    <tableColumn id="2" name="Name" dataDxfId="21"/>
    <tableColumn id="3" name="Plan" dataDxfId="20"/>
    <tableColumn id="4" name="Start Date" dataDxfId="19"/>
    <tableColumn id="5" name="Auto Renewal" dataDxfId="18"/>
    <tableColumn id="6" name="Subscription Price" dataDxfId="17" dataCellStyle="Moeda"/>
    <tableColumn id="7" name="Subscription Type" dataDxfId="16"/>
    <tableColumn id="8" name="EA Play Season Pass" dataDxfId="15"/>
    <tableColumn id="13" name="EA Play Season Pass_x000a_Price" dataDxfId="14" dataCellStyle="Moeda"/>
    <tableColumn id="9" name="Minecraft Season Pass" dataDxfId="13"/>
    <tableColumn id="10" name="Minecraft Season Pass Price" dataDxfId="12" dataCellStyle="Moeda"/>
    <tableColumn id="11" name="Coupon Value" dataDxfId="11" dataCellStyle="Moeda"/>
    <tableColumn id="12" name="Total Value" dataDxfId="10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M21" totalsRowShown="0">
  <autoFilter ref="A1:M21"/>
  <tableColumns count="13">
    <tableColumn id="1" name="Subscriber ID"/>
    <tableColumn id="2" name="Name"/>
    <tableColumn id="3" name="Plan"/>
    <tableColumn id="4" name="Start Date" dataDxfId="4"/>
    <tableColumn id="5" name="Auto Renewal"/>
    <tableColumn id="6" name="Subscription Price"/>
    <tableColumn id="7" name="Subscription Type"/>
    <tableColumn id="8" name="EA Play Season Pass"/>
    <tableColumn id="9" name="EA Play Season Pass_x000a_Price"/>
    <tableColumn id="10" name="Minecraft Season Pass"/>
    <tableColumn id="11" name="Minecraft Season Pass Price"/>
    <tableColumn id="12" name="Coupon Value"/>
    <tableColumn id="13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A24" sqref="A24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A24" sqref="A2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1"/>
  <sheetViews>
    <sheetView workbookViewId="0">
      <selection activeCell="A24" sqref="A24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3520</v>
      </c>
      <c r="B2" t="s">
        <v>303</v>
      </c>
      <c r="C2" t="s">
        <v>18</v>
      </c>
      <c r="D2" s="22">
        <v>45637</v>
      </c>
      <c r="E2" t="s">
        <v>19</v>
      </c>
      <c r="F2">
        <v>15</v>
      </c>
      <c r="G2" t="s">
        <v>24</v>
      </c>
      <c r="H2" t="s">
        <v>19</v>
      </c>
      <c r="I2">
        <v>30</v>
      </c>
      <c r="J2" t="s">
        <v>19</v>
      </c>
      <c r="K2">
        <v>20</v>
      </c>
      <c r="L2">
        <v>5</v>
      </c>
      <c r="M2">
        <v>60</v>
      </c>
    </row>
    <row r="3" spans="1:13">
      <c r="A3">
        <v>3508</v>
      </c>
      <c r="B3" t="s">
        <v>294</v>
      </c>
      <c r="C3" t="s">
        <v>18</v>
      </c>
      <c r="D3" s="22">
        <v>45625</v>
      </c>
      <c r="E3" t="s">
        <v>19</v>
      </c>
      <c r="F3">
        <v>15</v>
      </c>
      <c r="G3" t="s">
        <v>24</v>
      </c>
      <c r="H3" t="s">
        <v>19</v>
      </c>
      <c r="I3">
        <v>30</v>
      </c>
      <c r="J3" t="s">
        <v>19</v>
      </c>
      <c r="K3">
        <v>20</v>
      </c>
      <c r="L3">
        <v>3</v>
      </c>
      <c r="M3">
        <v>62</v>
      </c>
    </row>
    <row r="4" spans="1:13">
      <c r="A4">
        <v>3496</v>
      </c>
      <c r="B4" t="s">
        <v>283</v>
      </c>
      <c r="C4" t="s">
        <v>18</v>
      </c>
      <c r="D4" s="22">
        <v>45613</v>
      </c>
      <c r="E4" t="s">
        <v>19</v>
      </c>
      <c r="F4">
        <v>15</v>
      </c>
      <c r="G4" t="s">
        <v>24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>
      <c r="A5">
        <v>3482</v>
      </c>
      <c r="B5" t="s">
        <v>269</v>
      </c>
      <c r="C5" t="s">
        <v>18</v>
      </c>
      <c r="D5" s="22">
        <v>45599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>
      <c r="A6">
        <v>3470</v>
      </c>
      <c r="B6" t="s">
        <v>258</v>
      </c>
      <c r="C6" t="s">
        <v>18</v>
      </c>
      <c r="D6" s="22">
        <v>45587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>
      <c r="A7">
        <v>3458</v>
      </c>
      <c r="B7" t="s">
        <v>247</v>
      </c>
      <c r="C7" t="s">
        <v>18</v>
      </c>
      <c r="D7" s="22">
        <v>45575</v>
      </c>
      <c r="E7" t="s">
        <v>19</v>
      </c>
      <c r="F7">
        <v>15</v>
      </c>
      <c r="G7" t="s">
        <v>24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>
      <c r="A8">
        <v>3446</v>
      </c>
      <c r="B8" t="s">
        <v>237</v>
      </c>
      <c r="C8" t="s">
        <v>18</v>
      </c>
      <c r="D8" s="22">
        <v>45563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5</v>
      </c>
      <c r="M8">
        <v>60</v>
      </c>
    </row>
    <row r="9" spans="1:13">
      <c r="A9">
        <v>3428</v>
      </c>
      <c r="B9" t="s">
        <v>220</v>
      </c>
      <c r="C9" t="s">
        <v>18</v>
      </c>
      <c r="D9" s="22">
        <v>45545</v>
      </c>
      <c r="E9" t="s">
        <v>19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>
      <c r="A10">
        <v>3416</v>
      </c>
      <c r="B10" t="s">
        <v>211</v>
      </c>
      <c r="C10" t="s">
        <v>18</v>
      </c>
      <c r="D10" s="22">
        <v>45533</v>
      </c>
      <c r="E10" t="s">
        <v>19</v>
      </c>
      <c r="F10">
        <v>15</v>
      </c>
      <c r="G10" t="s">
        <v>24</v>
      </c>
      <c r="H10" t="s">
        <v>19</v>
      </c>
      <c r="I10">
        <v>30</v>
      </c>
      <c r="J10" t="s">
        <v>19</v>
      </c>
      <c r="K10">
        <v>20</v>
      </c>
      <c r="L10">
        <v>5</v>
      </c>
      <c r="M10">
        <v>60</v>
      </c>
    </row>
    <row r="11" spans="1:13">
      <c r="A11">
        <v>3400</v>
      </c>
      <c r="B11" t="s">
        <v>195</v>
      </c>
      <c r="C11" t="s">
        <v>18</v>
      </c>
      <c r="D11" s="22">
        <v>45517</v>
      </c>
      <c r="E11" t="s">
        <v>19</v>
      </c>
      <c r="F11">
        <v>15</v>
      </c>
      <c r="G11" t="s">
        <v>24</v>
      </c>
      <c r="H11" t="s">
        <v>19</v>
      </c>
      <c r="I11">
        <v>30</v>
      </c>
      <c r="J11" t="s">
        <v>19</v>
      </c>
      <c r="K11">
        <v>20</v>
      </c>
      <c r="L11">
        <v>5</v>
      </c>
      <c r="M11">
        <v>60</v>
      </c>
    </row>
    <row r="12" spans="1:13">
      <c r="A12">
        <v>3388</v>
      </c>
      <c r="B12" t="s">
        <v>185</v>
      </c>
      <c r="C12" t="s">
        <v>18</v>
      </c>
      <c r="D12" s="22">
        <v>45505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3</v>
      </c>
      <c r="M12">
        <v>62</v>
      </c>
    </row>
    <row r="13" spans="1:13">
      <c r="A13">
        <v>3242</v>
      </c>
      <c r="B13" t="s">
        <v>40</v>
      </c>
      <c r="C13" t="s">
        <v>18</v>
      </c>
      <c r="D13" s="22">
        <v>45359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20</v>
      </c>
      <c r="M13">
        <v>45</v>
      </c>
    </row>
    <row r="14" spans="1:13">
      <c r="A14">
        <v>3376</v>
      </c>
      <c r="B14" t="s">
        <v>173</v>
      </c>
      <c r="C14" t="s">
        <v>18</v>
      </c>
      <c r="D14" s="22">
        <v>45493</v>
      </c>
      <c r="E14" t="s">
        <v>19</v>
      </c>
      <c r="F14">
        <v>15</v>
      </c>
      <c r="G14" t="s">
        <v>24</v>
      </c>
      <c r="H14" t="s">
        <v>19</v>
      </c>
      <c r="I14">
        <v>30</v>
      </c>
      <c r="J14" t="s">
        <v>19</v>
      </c>
      <c r="K14">
        <v>20</v>
      </c>
      <c r="L14">
        <v>5</v>
      </c>
      <c r="M14">
        <v>60</v>
      </c>
    </row>
    <row r="15" spans="1:13">
      <c r="A15">
        <v>3358</v>
      </c>
      <c r="B15" t="s">
        <v>155</v>
      </c>
      <c r="C15" t="s">
        <v>18</v>
      </c>
      <c r="D15" s="22">
        <v>45475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3</v>
      </c>
      <c r="M15">
        <v>62</v>
      </c>
    </row>
    <row r="16" spans="1:13">
      <c r="A16">
        <v>3346</v>
      </c>
      <c r="B16" t="s">
        <v>144</v>
      </c>
      <c r="C16" t="s">
        <v>18</v>
      </c>
      <c r="D16" s="22">
        <v>45463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>
      <c r="A17">
        <v>3318</v>
      </c>
      <c r="B17" t="s">
        <v>116</v>
      </c>
      <c r="C17" t="s">
        <v>18</v>
      </c>
      <c r="D17" s="22">
        <v>45435</v>
      </c>
      <c r="E17" t="s">
        <v>23</v>
      </c>
      <c r="F17">
        <v>15</v>
      </c>
      <c r="G17" t="s">
        <v>24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>
      <c r="A18">
        <v>3306</v>
      </c>
      <c r="B18" t="s">
        <v>104</v>
      </c>
      <c r="C18" t="s">
        <v>18</v>
      </c>
      <c r="D18" s="22">
        <v>45423</v>
      </c>
      <c r="E18" t="s">
        <v>23</v>
      </c>
      <c r="F18">
        <v>15</v>
      </c>
      <c r="G18" t="s">
        <v>24</v>
      </c>
      <c r="H18" t="s">
        <v>19</v>
      </c>
      <c r="I18">
        <v>30</v>
      </c>
      <c r="J18" t="s">
        <v>19</v>
      </c>
      <c r="K18">
        <v>20</v>
      </c>
      <c r="L18">
        <v>5</v>
      </c>
      <c r="M18">
        <v>60</v>
      </c>
    </row>
    <row r="19" spans="1:13">
      <c r="A19">
        <v>3288</v>
      </c>
      <c r="B19" t="s">
        <v>86</v>
      </c>
      <c r="C19" t="s">
        <v>18</v>
      </c>
      <c r="D19" s="22">
        <v>45405</v>
      </c>
      <c r="E19" t="s">
        <v>19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>
      <c r="A20">
        <v>3276</v>
      </c>
      <c r="B20" t="s">
        <v>74</v>
      </c>
      <c r="C20" t="s">
        <v>18</v>
      </c>
      <c r="D20" s="22">
        <v>45393</v>
      </c>
      <c r="E20" t="s">
        <v>19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>
      <c r="A21">
        <v>3254</v>
      </c>
      <c r="B21" t="s">
        <v>52</v>
      </c>
      <c r="C21" t="s">
        <v>18</v>
      </c>
      <c r="D21" s="22">
        <v>45371</v>
      </c>
      <c r="E21" t="s">
        <v>19</v>
      </c>
      <c r="F21">
        <v>15</v>
      </c>
      <c r="G21" t="s">
        <v>24</v>
      </c>
      <c r="H21" t="s">
        <v>19</v>
      </c>
      <c r="I21">
        <v>30</v>
      </c>
      <c r="J21" t="s">
        <v>19</v>
      </c>
      <c r="K21">
        <v>20</v>
      </c>
      <c r="L21">
        <v>20</v>
      </c>
      <c r="M21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E34"/>
  <sheetViews>
    <sheetView showGridLines="0" topLeftCell="A16" workbookViewId="0">
      <selection activeCell="A24" sqref="A24"/>
    </sheetView>
  </sheetViews>
  <sheetFormatPr defaultRowHeight="14.25"/>
  <cols>
    <col min="2" max="2" width="18" customWidth="1"/>
    <col min="3" max="3" width="35.125" customWidth="1"/>
    <col min="4" max="4" width="29.875" customWidth="1"/>
    <col min="5" max="5" width="17.37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5">
      <c r="B3" s="16" t="s">
        <v>313</v>
      </c>
      <c r="C3" s="16"/>
      <c r="D3" s="16"/>
      <c r="E3" s="16"/>
    </row>
    <row r="5" spans="2:5">
      <c r="B5" t="s">
        <v>318</v>
      </c>
    </row>
    <row r="6" spans="2:5">
      <c r="B6" t="s">
        <v>314</v>
      </c>
    </row>
    <row r="7" spans="2:5">
      <c r="B7" t="s">
        <v>319</v>
      </c>
    </row>
    <row r="9" spans="2:5">
      <c r="B9" s="13" t="s">
        <v>16</v>
      </c>
      <c r="C9" t="s">
        <v>24</v>
      </c>
    </row>
    <row r="11" spans="2:5">
      <c r="B11" s="13" t="s">
        <v>316</v>
      </c>
      <c r="C11" t="s">
        <v>315</v>
      </c>
    </row>
    <row r="12" spans="2:5">
      <c r="B12" s="14" t="s">
        <v>23</v>
      </c>
      <c r="C12" s="15">
        <v>217</v>
      </c>
    </row>
    <row r="13" spans="2:5">
      <c r="B13" s="14" t="s">
        <v>19</v>
      </c>
      <c r="C13" s="15">
        <v>1537</v>
      </c>
    </row>
    <row r="14" spans="2:5">
      <c r="B14" s="14" t="s">
        <v>317</v>
      </c>
      <c r="C14" s="15">
        <v>1754</v>
      </c>
    </row>
    <row r="16" spans="2:5">
      <c r="B16" s="21" t="s">
        <v>324</v>
      </c>
    </row>
    <row r="17" spans="2:4" s="20" customFormat="1"/>
    <row r="18" spans="2:4">
      <c r="B18" s="13" t="s">
        <v>16</v>
      </c>
      <c r="C18" t="s">
        <v>24</v>
      </c>
    </row>
    <row r="20" spans="2:4">
      <c r="B20" s="13" t="s">
        <v>316</v>
      </c>
      <c r="C20" t="s">
        <v>322</v>
      </c>
    </row>
    <row r="21" spans="2:4">
      <c r="B21" s="14" t="s">
        <v>22</v>
      </c>
      <c r="C21" s="12">
        <v>0</v>
      </c>
    </row>
    <row r="22" spans="2:4">
      <c r="B22" s="14" t="s">
        <v>26</v>
      </c>
      <c r="C22" s="12">
        <v>0</v>
      </c>
    </row>
    <row r="23" spans="2:4">
      <c r="B23" s="14" t="s">
        <v>18</v>
      </c>
      <c r="C23" s="12">
        <v>600</v>
      </c>
    </row>
    <row r="24" spans="2:4" ht="15">
      <c r="B24" s="14" t="s">
        <v>317</v>
      </c>
      <c r="C24" s="23">
        <v>600</v>
      </c>
      <c r="D24" s="24">
        <f>GETPIVOTDATA("EA Play Season Pass
Price",$B$20)</f>
        <v>600</v>
      </c>
    </row>
    <row r="26" spans="2:4">
      <c r="B26" s="21" t="s">
        <v>323</v>
      </c>
    </row>
    <row r="27" spans="2:4">
      <c r="B27" s="20"/>
      <c r="C27" s="20"/>
    </row>
    <row r="28" spans="2:4">
      <c r="B28" s="13" t="s">
        <v>16</v>
      </c>
      <c r="C28" t="s">
        <v>24</v>
      </c>
    </row>
    <row r="30" spans="2:4">
      <c r="B30" s="13" t="s">
        <v>316</v>
      </c>
      <c r="C30" t="s">
        <v>321</v>
      </c>
    </row>
    <row r="31" spans="2:4">
      <c r="B31" s="14" t="s">
        <v>22</v>
      </c>
      <c r="C31" s="12">
        <v>0</v>
      </c>
    </row>
    <row r="32" spans="2:4">
      <c r="B32" s="14" t="s">
        <v>26</v>
      </c>
      <c r="C32" s="12">
        <v>540</v>
      </c>
    </row>
    <row r="33" spans="2:4">
      <c r="B33" s="14" t="s">
        <v>18</v>
      </c>
      <c r="C33" s="12">
        <v>400</v>
      </c>
    </row>
    <row r="34" spans="2:4" ht="15">
      <c r="B34" s="14" t="s">
        <v>317</v>
      </c>
      <c r="C34" s="23">
        <v>940</v>
      </c>
      <c r="D34" s="25">
        <f>GETPIVOTDATA("Minecraft Season Pass Price",$B$30)</f>
        <v>940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showGridLines="0" tabSelected="1" zoomScale="80" zoomScaleNormal="80" workbookViewId="0">
      <selection activeCell="B13" sqref="B13"/>
    </sheetView>
  </sheetViews>
  <sheetFormatPr defaultRowHeight="14.25"/>
  <cols>
    <col min="1" max="1" width="41.75" style="17" customWidth="1"/>
    <col min="2" max="2" width="11.875" customWidth="1"/>
    <col min="3" max="3" width="18" customWidth="1"/>
    <col min="6" max="6" width="20" customWidth="1"/>
    <col min="12" max="12" width="6.625" customWidth="1"/>
  </cols>
  <sheetData>
    <row r="1" spans="1:14" s="18" customFormat="1" ht="48.75" customHeight="1" thickBot="1">
      <c r="A1" s="17"/>
      <c r="B1" s="26" t="s">
        <v>320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s="19" customFormat="1" ht="8.25" customHeight="1" thickTop="1">
      <c r="A2" s="17"/>
    </row>
    <row r="3" spans="1:14" s="19" customFormat="1" ht="7.5" customHeight="1">
      <c r="A3" s="17"/>
    </row>
    <row r="4" spans="1:14" s="19" customFormat="1" ht="10.5" customHeight="1">
      <c r="A4" s="17"/>
    </row>
    <row r="5" spans="1:14" s="19" customFormat="1" ht="9.75" customHeight="1">
      <c r="A5" s="17"/>
    </row>
    <row r="6" spans="1:14" s="19" customFormat="1" ht="33" customHeight="1">
      <c r="A6" s="17"/>
    </row>
    <row r="7" spans="1:14" s="19" customFormat="1" ht="14.25" customHeight="1">
      <c r="A7" s="17"/>
    </row>
    <row r="8" spans="1:14" s="19" customFormat="1" ht="14.25" customHeight="1">
      <c r="A8" s="17"/>
    </row>
    <row r="9" spans="1:14" s="19" customFormat="1" ht="14.25" customHeight="1">
      <c r="A9" s="17"/>
    </row>
    <row r="10" spans="1:14" s="19" customFormat="1" ht="14.25" customHeight="1">
      <c r="A10" s="17"/>
    </row>
    <row r="11" spans="1:14" s="19" customFormat="1" ht="14.25" customHeight="1">
      <c r="A11" s="17"/>
    </row>
    <row r="12" spans="1:14" s="19" customFormat="1" ht="14.25" customHeight="1">
      <c r="A12" s="17"/>
    </row>
    <row r="13" spans="1:14" s="19" customFormat="1" ht="14.25" customHeight="1">
      <c r="A13" s="17"/>
    </row>
    <row r="14" spans="1:14" s="19" customFormat="1" ht="14.25" customHeight="1">
      <c r="A14" s="17"/>
    </row>
    <row r="15" spans="1:14" s="19" customFormat="1" ht="14.25" customHeight="1">
      <c r="A15" s="17"/>
      <c r="C15" s="27"/>
    </row>
    <row r="16" spans="1:14" s="19" customFormat="1" ht="14.25" customHeight="1">
      <c r="A16" s="17"/>
    </row>
    <row r="17" spans="1:1" s="19" customFormat="1" ht="14.25" customHeight="1">
      <c r="A17" s="17"/>
    </row>
    <row r="18" spans="1:1" s="19" customFormat="1" ht="14.25" customHeight="1">
      <c r="A18" s="17"/>
    </row>
    <row r="19" spans="1:1" s="19" customFormat="1" ht="14.25" customHeight="1">
      <c r="A19" s="17"/>
    </row>
    <row r="20" spans="1:1" s="19" customFormat="1" ht="14.25" customHeight="1">
      <c r="A20" s="17"/>
    </row>
    <row r="21" spans="1:1" s="19" customFormat="1" ht="14.25" customHeight="1">
      <c r="A21" s="17"/>
    </row>
    <row r="22" spans="1:1" s="19" customFormat="1" ht="14.25" customHeight="1">
      <c r="A22" s="17"/>
    </row>
    <row r="23" spans="1:1" s="19" customFormat="1" ht="14.25" customHeight="1">
      <c r="A23" s="17"/>
    </row>
    <row r="24" spans="1:1" s="19" customFormat="1" ht="14.25" customHeight="1">
      <c r="A24" s="17"/>
    </row>
    <row r="25" spans="1:1" s="19" customFormat="1" ht="14.25" customHeight="1">
      <c r="A25" s="17"/>
    </row>
    <row r="26" spans="1:1" s="19" customFormat="1" ht="14.25" customHeight="1">
      <c r="A26" s="17"/>
    </row>
    <row r="27" spans="1:1" s="19" customFormat="1" ht="14.25" customHeight="1">
      <c r="A27" s="17"/>
    </row>
    <row r="28" spans="1:1" s="19" customFormat="1" ht="14.25" customHeight="1">
      <c r="A28" s="17"/>
    </row>
    <row r="29" spans="1:1" s="19" customFormat="1" ht="14.25" customHeight="1">
      <c r="A29" s="17"/>
    </row>
    <row r="30" spans="1:1" s="19" customFormat="1" ht="14.25" customHeight="1">
      <c r="A30" s="17"/>
    </row>
    <row r="31" spans="1:1" s="19" customFormat="1" ht="14.25" customHeight="1">
      <c r="A31" s="17"/>
    </row>
    <row r="32" spans="1:1" s="19" customFormat="1" ht="14.25" customHeight="1">
      <c r="A32" s="17"/>
    </row>
    <row r="33" spans="1:1" s="19" customFormat="1" ht="14.25" customHeight="1">
      <c r="A33" s="17"/>
    </row>
    <row r="34" spans="1:1" s="19" customFormat="1" ht="14.25" customHeight="1">
      <c r="A34" s="17"/>
    </row>
    <row r="35" spans="1:1" s="19" customFormat="1" ht="14.25" customHeight="1">
      <c r="A35" s="17"/>
    </row>
    <row r="36" spans="1:1" s="19" customFormat="1" ht="14.25" customHeight="1">
      <c r="A36" s="17"/>
    </row>
    <row r="37" spans="1:1" s="19" customFormat="1" ht="14.25" customHeight="1">
      <c r="A37" s="17"/>
    </row>
    <row r="38" spans="1:1" s="19" customFormat="1" ht="14.25" customHeight="1">
      <c r="A38" s="17"/>
    </row>
    <row r="39" spans="1:1" s="19" customFormat="1" ht="14.25" customHeight="1">
      <c r="A39" s="17"/>
    </row>
    <row r="40" spans="1:1" s="19" customFormat="1" ht="14.25" customHeight="1">
      <c r="A40" s="17"/>
    </row>
    <row r="41" spans="1:1" s="19" customFormat="1" ht="14.25" customHeight="1">
      <c r="A41" s="17"/>
    </row>
    <row r="42" spans="1:1" s="19" customFormat="1" ht="14.25" customHeight="1">
      <c r="A42" s="17"/>
    </row>
    <row r="43" spans="1:1" s="19" customFormat="1" ht="14.25" customHeight="1">
      <c r="A43" s="17"/>
    </row>
    <row r="44" spans="1:1" s="19" customFormat="1" ht="14.25" customHeight="1">
      <c r="A44" s="17"/>
    </row>
    <row r="45" spans="1:1" s="19" customFormat="1" ht="14.25" customHeight="1">
      <c r="A45" s="17"/>
    </row>
    <row r="46" spans="1:1" s="19" customFormat="1" ht="14.25" customHeight="1">
      <c r="A46" s="17"/>
    </row>
    <row r="47" spans="1:1" s="19" customFormat="1" ht="14.25" customHeight="1">
      <c r="A47" s="17"/>
    </row>
    <row r="48" spans="1:1" s="19" customFormat="1" ht="14.25" customHeight="1">
      <c r="A48" s="17"/>
    </row>
    <row r="49" spans="1:1" s="19" customFormat="1" ht="14.25" customHeight="1">
      <c r="A49" s="17"/>
    </row>
    <row r="50" spans="1:1" s="19" customFormat="1" ht="14.25" customHeight="1">
      <c r="A50" s="17"/>
    </row>
    <row r="51" spans="1:1" s="19" customFormat="1" ht="14.25" customHeight="1">
      <c r="A51" s="17"/>
    </row>
    <row r="52" spans="1:1" s="19" customFormat="1" ht="14.25" customHeight="1">
      <c r="A52" s="17"/>
    </row>
    <row r="53" spans="1:1" s="19" customFormat="1" ht="14.25" customHeight="1">
      <c r="A53" s="17"/>
    </row>
    <row r="54" spans="1:1" s="19" customFormat="1" ht="14.25" customHeight="1">
      <c r="A54" s="17"/>
    </row>
    <row r="55" spans="1:1" s="19" customFormat="1" ht="14.25" customHeight="1">
      <c r="A55" s="17"/>
    </row>
    <row r="56" spans="1:1" s="19" customFormat="1" ht="14.25" customHeight="1">
      <c r="A56" s="17"/>
    </row>
    <row r="57" spans="1:1" s="19" customFormat="1" ht="14.25" customHeight="1">
      <c r="A57" s="17"/>
    </row>
    <row r="58" spans="1:1" s="19" customFormat="1" ht="14.25" customHeight="1">
      <c r="A58" s="17"/>
    </row>
    <row r="59" spans="1:1" s="19" customFormat="1" ht="14.25" customHeight="1">
      <c r="A59" s="17"/>
    </row>
    <row r="60" spans="1:1" s="19" customFormat="1" ht="14.25" customHeight="1">
      <c r="A60" s="17"/>
    </row>
    <row r="61" spans="1:1" s="19" customFormat="1" ht="14.25" customHeight="1">
      <c r="A61" s="17"/>
    </row>
    <row r="62" spans="1:1" s="19" customFormat="1" ht="14.25" customHeight="1">
      <c r="A62" s="17"/>
    </row>
    <row r="63" spans="1:1" s="19" customFormat="1" ht="14.25" customHeight="1">
      <c r="A63" s="17"/>
    </row>
    <row r="64" spans="1:1" s="19" customFormat="1" ht="14.25" customHeight="1">
      <c r="A64" s="17"/>
    </row>
    <row r="65" spans="1:1" s="19" customFormat="1" ht="14.25" customHeight="1">
      <c r="A65" s="17"/>
    </row>
    <row r="66" spans="1:1" s="19" customFormat="1" ht="14.25" customHeight="1">
      <c r="A66" s="17"/>
    </row>
    <row r="67" spans="1:1" s="19" customFormat="1" ht="14.25" customHeight="1">
      <c r="A67" s="17"/>
    </row>
    <row r="68" spans="1:1" s="19" customFormat="1" ht="14.25" customHeight="1">
      <c r="A68" s="17"/>
    </row>
    <row r="69" spans="1:1" s="19" customFormat="1" ht="14.25" customHeight="1">
      <c r="A69" s="17"/>
    </row>
    <row r="70" spans="1:1" s="19" customFormat="1" ht="14.25" customHeight="1">
      <c r="A70" s="17"/>
    </row>
    <row r="71" spans="1:1" s="19" customFormat="1" ht="14.25" customHeight="1">
      <c r="A71" s="17"/>
    </row>
    <row r="72" spans="1:1" s="19" customFormat="1" ht="14.25" customHeight="1">
      <c r="A72" s="17"/>
    </row>
    <row r="73" spans="1:1" s="19" customFormat="1" ht="14.25" customHeight="1">
      <c r="A73" s="17"/>
    </row>
    <row r="74" spans="1:1" s="19" customFormat="1" ht="14.25" customHeight="1">
      <c r="A74" s="17"/>
    </row>
    <row r="75" spans="1:1" s="19" customFormat="1" ht="14.25" customHeight="1">
      <c r="A75" s="17"/>
    </row>
    <row r="76" spans="1:1" s="19" customFormat="1" ht="14.25" customHeight="1">
      <c r="A76" s="17"/>
    </row>
    <row r="77" spans="1:1" s="19" customFormat="1" ht="14.25" customHeight="1">
      <c r="A77" s="17"/>
    </row>
    <row r="78" spans="1:1" s="19" customFormat="1" ht="14.25" customHeight="1">
      <c r="A78" s="17"/>
    </row>
    <row r="79" spans="1:1" s="19" customFormat="1" ht="14.25" customHeight="1">
      <c r="A79" s="17"/>
    </row>
    <row r="80" spans="1:1" s="19" customFormat="1" ht="14.25" customHeight="1">
      <c r="A80" s="17"/>
    </row>
    <row r="81" spans="1:1" s="19" customFormat="1" ht="14.25" customHeight="1">
      <c r="A81" s="17"/>
    </row>
    <row r="82" spans="1:1" s="19" customFormat="1" ht="14.25" customHeight="1">
      <c r="A82" s="17"/>
    </row>
    <row r="83" spans="1:1" s="19" customFormat="1" ht="14.25" customHeight="1">
      <c r="A83" s="17"/>
    </row>
    <row r="84" spans="1:1" s="19" customFormat="1" ht="14.25" customHeight="1">
      <c r="A84" s="17"/>
    </row>
    <row r="85" spans="1:1" s="19" customFormat="1" ht="14.25" customHeight="1">
      <c r="A85" s="17"/>
    </row>
    <row r="86" spans="1:1" s="19" customFormat="1" ht="14.25" customHeight="1">
      <c r="A86" s="17"/>
    </row>
    <row r="87" spans="1:1" s="19" customFormat="1" ht="14.25" customHeight="1">
      <c r="A87" s="17"/>
    </row>
    <row r="88" spans="1:1" s="19" customFormat="1" ht="14.25" customHeight="1">
      <c r="A88" s="17"/>
    </row>
    <row r="89" spans="1:1" s="19" customFormat="1" ht="14.25" customHeight="1">
      <c r="A89" s="17"/>
    </row>
    <row r="90" spans="1:1" s="19" customFormat="1" ht="14.25" customHeight="1">
      <c r="A90" s="17"/>
    </row>
    <row r="91" spans="1:1" s="19" customFormat="1" ht="14.25" customHeight="1">
      <c r="A91" s="17"/>
    </row>
    <row r="92" spans="1:1" s="19" customFormat="1" ht="14.25" customHeight="1">
      <c r="A92" s="17"/>
    </row>
    <row r="93" spans="1:1" s="19" customFormat="1" ht="14.25" customHeight="1">
      <c r="A93" s="17"/>
    </row>
    <row r="94" spans="1:1" s="19" customFormat="1" ht="14.25" customHeight="1">
      <c r="A94" s="17"/>
    </row>
    <row r="95" spans="1:1" s="19" customFormat="1" ht="14.25" customHeight="1">
      <c r="A95" s="17"/>
    </row>
    <row r="96" spans="1:1" s="19" customFormat="1" ht="14.25" customHeight="1">
      <c r="A96" s="17"/>
    </row>
    <row r="97" spans="1:1" s="19" customFormat="1" ht="14.25" customHeight="1">
      <c r="A97" s="17"/>
    </row>
    <row r="98" spans="1:1" s="19" customFormat="1" ht="14.25" customHeight="1">
      <c r="A98" s="17"/>
    </row>
    <row r="99" spans="1:1" s="19" customFormat="1" ht="14.25" customHeight="1">
      <c r="A99" s="17"/>
    </row>
    <row r="100" spans="1:1" s="19" customFormat="1" ht="14.25" customHeight="1">
      <c r="A100" s="17"/>
    </row>
    <row r="101" spans="1:1" s="19" customFormat="1" ht="14.25" customHeight="1">
      <c r="A101" s="17"/>
    </row>
    <row r="102" spans="1:1" s="19" customFormat="1" ht="14.25" customHeight="1">
      <c r="A102" s="17"/>
    </row>
    <row r="103" spans="1:1" s="19" customFormat="1" ht="14.25" customHeight="1">
      <c r="A103" s="17"/>
    </row>
    <row r="104" spans="1:1" s="19" customFormat="1" ht="14.25" customHeight="1">
      <c r="A104" s="17"/>
    </row>
    <row r="105" spans="1:1" s="19" customFormat="1" ht="14.25" customHeight="1">
      <c r="A105" s="17"/>
    </row>
    <row r="106" spans="1:1" s="19" customFormat="1" ht="14.25" customHeight="1">
      <c r="A106" s="17"/>
    </row>
    <row r="107" spans="1:1" s="19" customFormat="1" ht="14.25" customHeight="1">
      <c r="A107" s="17"/>
    </row>
    <row r="108" spans="1:1" s="19" customFormat="1" ht="14.25" customHeight="1">
      <c r="A108" s="17"/>
    </row>
    <row r="109" spans="1:1" s="19" customFormat="1" ht="14.25" customHeight="1">
      <c r="A109" s="17"/>
    </row>
    <row r="110" spans="1:1" s="19" customFormat="1" ht="14.25" customHeight="1">
      <c r="A110" s="17"/>
    </row>
    <row r="111" spans="1:1" s="19" customFormat="1" ht="14.25" customHeight="1">
      <c r="A111" s="17"/>
    </row>
    <row r="112" spans="1:1" s="19" customFormat="1" ht="14.25" customHeight="1">
      <c r="A112" s="17"/>
    </row>
    <row r="113" spans="1:1" s="19" customFormat="1" ht="14.25" customHeight="1">
      <c r="A113" s="17"/>
    </row>
    <row r="114" spans="1:1" s="19" customFormat="1" ht="14.25" customHeight="1">
      <c r="A114" s="17"/>
    </row>
    <row r="115" spans="1:1" s="19" customFormat="1" ht="14.25" customHeight="1">
      <c r="A115" s="17"/>
    </row>
    <row r="116" spans="1:1" s="19" customFormat="1" ht="14.25" customHeight="1">
      <c r="A116" s="17"/>
    </row>
    <row r="117" spans="1:1" s="19" customFormat="1" ht="14.25" customHeight="1">
      <c r="A117" s="17"/>
    </row>
    <row r="118" spans="1:1" s="19" customFormat="1" ht="14.25" customHeight="1">
      <c r="A118" s="17"/>
    </row>
    <row r="119" spans="1:1" s="19" customFormat="1" ht="14.25" customHeight="1">
      <c r="A119" s="17"/>
    </row>
    <row r="120" spans="1:1" s="19" customFormat="1" ht="14.25" customHeight="1">
      <c r="A120" s="17"/>
    </row>
    <row r="121" spans="1:1" s="19" customFormat="1" ht="14.25" customHeight="1">
      <c r="A121" s="17"/>
    </row>
    <row r="122" spans="1:1" s="19" customFormat="1" ht="14.25" customHeight="1">
      <c r="A122" s="17"/>
    </row>
    <row r="123" spans="1:1" s="19" customFormat="1" ht="14.25" customHeight="1">
      <c r="A123" s="17"/>
    </row>
    <row r="124" spans="1:1" s="19" customFormat="1" ht="14.25" customHeight="1">
      <c r="A124" s="17"/>
    </row>
    <row r="125" spans="1:1" s="19" customFormat="1" ht="14.25" customHeight="1">
      <c r="A125" s="17"/>
    </row>
    <row r="126" spans="1:1" s="19" customFormat="1" ht="14.25" customHeight="1">
      <c r="A126" s="17"/>
    </row>
    <row r="127" spans="1:1" s="19" customFormat="1" ht="14.25" customHeight="1">
      <c r="A127" s="17"/>
    </row>
    <row r="128" spans="1:1" s="19" customFormat="1" ht="14.25" customHeight="1">
      <c r="A128" s="17"/>
    </row>
    <row r="129" spans="1:1" s="19" customFormat="1" ht="14.25" customHeight="1">
      <c r="A129" s="17"/>
    </row>
    <row r="130" spans="1:1" s="19" customFormat="1" ht="14.25" customHeight="1">
      <c r="A130" s="17"/>
    </row>
    <row r="131" spans="1:1" s="19" customFormat="1" ht="14.25" customHeight="1">
      <c r="A131" s="17"/>
    </row>
    <row r="132" spans="1:1" s="19" customFormat="1" ht="14.25" customHeight="1">
      <c r="A132" s="17"/>
    </row>
    <row r="133" spans="1:1" s="19" customFormat="1" ht="14.25" customHeight="1">
      <c r="A133" s="17"/>
    </row>
    <row r="134" spans="1:1" s="19" customFormat="1" ht="14.25" customHeight="1">
      <c r="A134" s="17"/>
    </row>
    <row r="135" spans="1:1" s="19" customFormat="1" ht="14.25" customHeight="1">
      <c r="A135" s="17"/>
    </row>
  </sheetData>
  <sheetProtection selectLockedCells="1" sort="0" selectUnlockedCells="1"/>
  <mergeCells count="1">
    <mergeCell ref="B1:N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purl.org/dc/terms/"/>
    <ds:schemaRef ds:uri="851b35d3-0456-4d6a-bc2f-da927e91d158"/>
    <ds:schemaRef ds:uri="19483571-f922-4e8e-9c1c-26f0a2252132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Plan2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pcs</cp:lastModifiedBy>
  <dcterms:created xsi:type="dcterms:W3CDTF">2024-12-19T13:13:10Z</dcterms:created>
  <dcterms:modified xsi:type="dcterms:W3CDTF">2026-02-15T18:08:21Z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